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Start_Here" sheetId="2" state="visible" r:id="rId2"/>
    <sheet xmlns:r="http://schemas.openxmlformats.org/officeDocument/2006/relationships" name="Catalog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Inventory_Live" sheetId="5" state="visible" r:id="rId5"/>
    <sheet xmlns:r="http://schemas.openxmlformats.org/officeDocument/2006/relationships" name="Shopify_Export" sheetId="6" state="visible" r:id="rId6"/>
    <sheet xmlns:r="http://schemas.openxmlformats.org/officeDocument/2006/relationships" name="Webhook_Config" sheetId="7" state="visible" r:id="rId7"/>
    <sheet xmlns:r="http://schemas.openxmlformats.org/officeDocument/2006/relationships" name="Last_Sync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yyyy-mm-dd"/>
  </numFmts>
  <fonts count="21">
    <font>
      <name val="Carlito"/>
      <sz val="11"/>
    </font>
    <font>
      <name val="Carlito"/>
      <b val="1"/>
      <color rgb="00FFFFFF"/>
      <sz val="20"/>
    </font>
    <font>
      <name val="Carlito"/>
      <i val="1"/>
      <color rgb="00433A35"/>
      <sz val="10"/>
    </font>
    <font>
      <name val="Carlito"/>
      <b val="1"/>
      <color rgb="002F2A27"/>
      <sz val="10"/>
    </font>
    <font>
      <name val="Carlito"/>
      <b val="1"/>
      <color rgb="002F2A27"/>
      <sz val="18"/>
    </font>
    <font>
      <name val="Carlito"/>
      <b val="1"/>
      <color rgb="008A6116"/>
      <sz val="10"/>
    </font>
    <font>
      <name val="Carlito"/>
      <b val="1"/>
      <color rgb="008A6116"/>
      <sz val="18"/>
    </font>
    <font>
      <name val="Carlito"/>
      <b val="1"/>
      <color rgb="008C2F39"/>
      <sz val="10"/>
    </font>
    <font>
      <name val="Carlito"/>
      <b val="1"/>
      <color rgb="008C2F39"/>
      <sz val="18"/>
    </font>
    <font>
      <name val="Carlito"/>
      <b val="1"/>
      <color rgb="00FFFFFF"/>
      <sz val="11"/>
    </font>
    <font>
      <name val="Carlito"/>
      <b val="1"/>
      <color rgb="00433A35"/>
      <sz val="10"/>
    </font>
    <font>
      <name val="Carlito"/>
      <b val="1"/>
      <color rgb="00433A35"/>
      <sz val="11"/>
    </font>
    <font>
      <name val="Carlito"/>
      <color rgb="00433A35"/>
      <sz val="10"/>
    </font>
    <font>
      <name val="Carlito"/>
      <b val="1"/>
      <color rgb="00FFFFFF"/>
      <sz val="18"/>
    </font>
    <font>
      <name val="Carlito"/>
      <color rgb="00433A35"/>
      <sz val="11"/>
    </font>
    <font>
      <name val="Carlito"/>
      <b val="1"/>
      <color rgb="00FFFFFF"/>
      <sz val="10"/>
    </font>
    <font>
      <name val="Arial"/>
      <b val="1"/>
      <color rgb="001E1B4B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11">
    <fill>
      <patternFill/>
    </fill>
    <fill>
      <patternFill patternType="gray125"/>
    </fill>
    <fill>
      <patternFill patternType="solid">
        <fgColor rgb="00FAF8F5"/>
      </patternFill>
    </fill>
    <fill>
      <patternFill patternType="solid">
        <fgColor rgb="002F2A27"/>
      </patternFill>
    </fill>
    <fill>
      <patternFill patternType="solid">
        <fgColor rgb="00E8DDD0"/>
      </patternFill>
    </fill>
    <fill>
      <patternFill patternType="solid">
        <fgColor rgb="00F7F3EE"/>
      </patternFill>
    </fill>
    <fill>
      <patternFill patternType="solid">
        <fgColor rgb="00FFFFFF"/>
      </patternFill>
    </fill>
    <fill>
      <patternFill patternType="solid">
        <fgColor rgb="00F8ECCC"/>
      </patternFill>
    </fill>
    <fill>
      <patternFill patternType="solid">
        <fgColor rgb="00F7DCDC"/>
      </patternFill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</fills>
  <borders count="2">
    <border/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 vertical="center"/>
    </xf>
    <xf numFmtId="0" fontId="6" fillId="6" borderId="0" pivotButton="0" quotePrefix="0" xfId="0"/>
    <xf numFmtId="0" fontId="6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/>
    </xf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/>
    </xf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0" fontId="9" fillId="3" borderId="0" pivotButton="0" quotePrefix="0" xfId="0"/>
    <xf numFmtId="0" fontId="9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left" vertical="center"/>
    </xf>
    <xf numFmtId="0" fontId="10" fillId="5" borderId="0" pivotButton="0" quotePrefix="0" xfId="0"/>
    <xf numFmtId="0" fontId="10" fillId="5" borderId="0" applyAlignment="1" pivotButton="0" quotePrefix="0" xfId="0">
      <alignment vertical="center"/>
    </xf>
    <xf numFmtId="0" fontId="11" fillId="6" borderId="0" pivotButton="0" quotePrefix="0" xfId="0"/>
    <xf numFmtId="0" fontId="11" fillId="6" borderId="0" applyAlignment="1" pivotButton="0" quotePrefix="0" xfId="0">
      <alignment horizontal="center"/>
    </xf>
    <xf numFmtId="0" fontId="11" fillId="6" borderId="0" applyAlignment="1" pivotButton="0" quotePrefix="0" xfId="0">
      <alignment horizontal="center" vertical="center"/>
    </xf>
    <xf numFmtId="0" fontId="12" fillId="6" borderId="0" pivotButton="0" quotePrefix="0" xfId="0"/>
    <xf numFmtId="0" fontId="12" fillId="6" borderId="0" applyAlignment="1" pivotButton="0" quotePrefix="0" xfId="0">
      <alignment horizontal="left"/>
    </xf>
    <xf numFmtId="0" fontId="12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 wrapText="1"/>
    </xf>
    <xf numFmtId="0" fontId="13" fillId="3" borderId="0" pivotButton="0" quotePrefix="0" xfId="0"/>
    <xf numFmtId="0" fontId="13" fillId="3" borderId="0" applyAlignment="1" pivotButton="0" quotePrefix="0" xfId="0">
      <alignment horizontal="center"/>
    </xf>
    <xf numFmtId="0" fontId="13" fillId="3" borderId="0" applyAlignment="1" pivotButton="0" quotePrefix="0" xfId="0">
      <alignment horizontal="center" vertical="center"/>
    </xf>
    <xf numFmtId="0" fontId="14" fillId="4" borderId="0" pivotButton="0" quotePrefix="0" xfId="0"/>
    <xf numFmtId="0" fontId="14" fillId="4" borderId="0" applyAlignment="1" pivotButton="0" quotePrefix="0" xfId="0">
      <alignment horizontal="center"/>
    </xf>
    <xf numFmtId="0" fontId="14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 wrapText="1"/>
    </xf>
    <xf numFmtId="0" fontId="15" fillId="3" borderId="0" pivotButton="0" quotePrefix="0" xfId="0"/>
    <xf numFmtId="0" fontId="15" fillId="3" borderId="0" applyAlignment="1" pivotButton="0" quotePrefix="0" xfId="0">
      <alignment horizontal="center"/>
    </xf>
    <xf numFmtId="0" fontId="15" fillId="3" borderId="0" applyAlignment="1" pivotButton="0" quotePrefix="0" xfId="0">
      <alignment horizontal="center" vertical="center"/>
    </xf>
    <xf numFmtId="0" fontId="12" fillId="6" borderId="0" applyAlignment="1" pivotButton="0" quotePrefix="0" xfId="0">
      <alignment vertical="center"/>
    </xf>
    <xf numFmtId="0" fontId="12" fillId="6" borderId="0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164" fontId="12" fillId="4" borderId="0" applyAlignment="1" pivotButton="0" quotePrefix="0" xfId="0">
      <alignment vertical="center" wrapText="1"/>
    </xf>
    <xf numFmtId="0" fontId="12" fillId="2" borderId="0" applyAlignment="1" pivotButton="0" quotePrefix="0" xfId="0">
      <alignment vertical="center" wrapText="1"/>
    </xf>
    <xf numFmtId="165" fontId="12" fillId="5" borderId="0" applyAlignment="1" pivotButton="0" quotePrefix="0" xfId="0">
      <alignment vertical="center" wrapText="1"/>
    </xf>
    <xf numFmtId="1" fontId="12" fillId="5" borderId="0" applyAlignment="1" pivotButton="0" quotePrefix="0" xfId="0">
      <alignment vertical="center" wrapText="1"/>
    </xf>
    <xf numFmtId="1" fontId="12" fillId="2" borderId="0" applyAlignment="1" pivotButton="0" quotePrefix="0" xfId="0">
      <alignment vertical="center" wrapText="1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164" fontId="12" fillId="2" borderId="0" applyAlignment="1" pivotButton="0" quotePrefix="0" xfId="0">
      <alignment vertical="center" wrapText="1"/>
    </xf>
    <xf numFmtId="0" fontId="12" fillId="2" borderId="0" pivotButton="0" quotePrefix="0" xfId="0"/>
    <xf numFmtId="0" fontId="12" fillId="2" borderId="0" applyAlignment="1" pivotButton="0" quotePrefix="0" xfId="0">
      <alignment vertical="center"/>
    </xf>
    <xf numFmtId="164" fontId="4" fillId="6" borderId="0" applyAlignment="1" pivotButton="0" quotePrefix="0" xfId="0">
      <alignment horizontal="center" vertical="center"/>
    </xf>
    <xf numFmtId="164" fontId="12" fillId="4" borderId="0" applyAlignment="1" pivotButton="0" quotePrefix="0" xfId="0">
      <alignment vertical="center" wrapText="1"/>
    </xf>
    <xf numFmtId="165" fontId="12" fillId="5" borderId="0" applyAlignment="1" pivotButton="0" quotePrefix="0" xfId="0">
      <alignment vertical="center" wrapText="1"/>
    </xf>
    <xf numFmtId="1" fontId="12" fillId="5" borderId="0" applyAlignment="1" pivotButton="0" quotePrefix="0" xfId="0">
      <alignment vertical="center" wrapText="1"/>
    </xf>
    <xf numFmtId="1" fontId="12" fillId="2" borderId="0" applyAlignment="1" pivotButton="0" quotePrefix="0" xfId="0">
      <alignment vertical="center" wrapText="1"/>
    </xf>
    <xf numFmtId="0" fontId="18" fillId="9" borderId="0" applyAlignment="1" pivotButton="0" quotePrefix="0" xfId="0">
      <alignment horizontal="center"/>
    </xf>
    <xf numFmtId="164" fontId="12" fillId="2" borderId="0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9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19" fillId="10" borderId="1" applyAlignment="1" pivotButton="0" quotePrefix="0" xfId="0">
      <alignment vertical="center"/>
    </xf>
    <xf numFmtId="0" fontId="20" fillId="10" borderId="1" applyAlignment="1" pivotButton="0" quotePrefix="0" xfId="0">
      <alignment vertical="center"/>
    </xf>
    <xf numFmtId="0" fontId="19" fillId="10" borderId="1" applyAlignment="1" pivotButton="0" quotePrefix="0" xfId="0">
      <alignment vertical="center" wrapText="1"/>
    </xf>
  </cellXfs>
  <cellStyles count="1">
    <cellStyle name="Normal" xfId="0"/>
  </cellStyles>
  <dxfs count="3">
    <dxf>
      <font>
        <b val="1"/>
        <color rgb="002E6B4C"/>
      </font>
      <fill>
        <patternFill patternType="solid">
          <bgColor rgb="00E7F3EC"/>
        </patternFill>
      </fill>
    </dxf>
    <dxf>
      <font>
        <b val="1"/>
        <color rgb="008A6116"/>
      </font>
      <fill>
        <patternFill patternType="solid">
          <bgColor rgb="00F8ECCC"/>
        </patternFill>
      </fill>
    </dxf>
    <dxf>
      <font>
        <b val="1"/>
        <color rgb="008C2F39"/>
      </font>
      <fill>
        <patternFill patternType="solid">
          <bgColor rgb="00F7DCD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0" customWidth="1" min="4" max="4"/>
    <col width="3" customWidth="1" min="5" max="5"/>
    <col width="14" customWidth="1" min="6" max="6"/>
    <col width="12" customWidth="1" min="7" max="7"/>
    <col width="10" customWidth="1" min="8" max="8"/>
    <col width="3" customWidth="1" min="9" max="9"/>
    <col width="14" customWidth="1" min="10" max="10"/>
    <col width="12" customWidth="1" min="11" max="11"/>
    <col width="10" customWidth="1" min="12" max="12"/>
  </cols>
  <sheetData>
    <row r="1">
      <c r="A1" s="5" t="inlineStr">
        <is>
          <t>STOCK CONTROL DASHBOARD</t>
        </is>
      </c>
    </row>
    <row r="2"/>
    <row r="3">
      <c r="A3" s="9" t="inlineStr">
        <is>
          <t>Movement-based inventory | Shopify SKU ready | no manual stock counts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3" t="inlineStr">
        <is>
          <t>Active SKUs</t>
        </is>
      </c>
      <c r="E5" s="1" t="n"/>
      <c r="F5" s="13" t="inlineStr">
        <is>
          <t>Units on Hand</t>
        </is>
      </c>
      <c r="I5" s="1" t="n"/>
      <c r="J5" s="21" t="inlineStr">
        <is>
          <t>Low Stock</t>
        </is>
      </c>
    </row>
    <row r="6">
      <c r="A6" s="1" t="n"/>
      <c r="B6" s="17">
        <f>COUNTIF(Catalog!$N$2:$N$201,"Yes")</f>
        <v/>
      </c>
      <c r="E6" s="1" t="n"/>
      <c r="F6" s="17">
        <f>SUM(Inventory_Live!$G$2:$G$201)</f>
        <v/>
      </c>
      <c r="I6" s="1" t="n"/>
      <c r="J6" s="24">
        <f>COUNTIF(Inventory_Live!$I$2:$I$201,"Reorder")</f>
        <v/>
      </c>
    </row>
    <row r="7">
      <c r="A7" s="1" t="n"/>
      <c r="E7" s="1" t="n"/>
      <c r="I7" s="1" t="n"/>
    </row>
    <row r="8">
      <c r="A8" s="1" t="n"/>
      <c r="E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28" t="inlineStr">
        <is>
          <t>Out of Stock</t>
        </is>
      </c>
      <c r="E10" s="1" t="n"/>
      <c r="F10" s="13" t="inlineStr">
        <is>
          <t>Stock @ Cost</t>
        </is>
      </c>
      <c r="I10" s="1" t="n"/>
      <c r="J10" s="13" t="inlineStr">
        <is>
          <t>Stock @ Retail</t>
        </is>
      </c>
    </row>
    <row r="11">
      <c r="A11" s="1" t="n"/>
      <c r="B11" s="31">
        <f>COUNTIF(Inventory_Live!$I$2:$I$201,"Out of stock")</f>
        <v/>
      </c>
      <c r="E11" s="1" t="n"/>
      <c r="F11" s="70">
        <f>SUM(Inventory_Live!$L$2:$L$201)</f>
        <v/>
      </c>
      <c r="I11" s="1" t="n"/>
      <c r="J11" s="70">
        <f>SUM(Inventory_Live!$M$2:$M$201)</f>
        <v/>
      </c>
    </row>
    <row r="12">
      <c r="A12" s="1" t="n"/>
      <c r="E12" s="1" t="n"/>
      <c r="I12" s="1" t="n"/>
    </row>
    <row r="13">
      <c r="A13" s="1" t="n"/>
      <c r="E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35" t="inlineStr">
        <is>
          <t>Location split</t>
        </is>
      </c>
      <c r="E16" s="1" t="n"/>
      <c r="F16" s="35" t="inlineStr">
        <is>
          <t>How to use</t>
        </is>
      </c>
    </row>
    <row r="17">
      <c r="A17" s="37" t="inlineStr">
        <is>
          <t>Studio</t>
        </is>
      </c>
      <c r="B17" s="40">
        <f>SUM(Inventory_Live!$D$2:$D$201)</f>
        <v/>
      </c>
      <c r="C17" s="1" t="n"/>
      <c r="D17" s="1" t="n"/>
      <c r="E17" s="1" t="n"/>
      <c r="F17" s="44" t="inlineStr">
        <is>
          <t>1. Add each product once in Catalog.
2. Log every movement in Transactions.
3. Never type into Inventory_Live.
4. Match Shopify Variant SKU exactly.</t>
        </is>
      </c>
    </row>
    <row r="18">
      <c r="A18" s="37" t="inlineStr">
        <is>
          <t>Knokke</t>
        </is>
      </c>
      <c r="B18" s="40">
        <f>SUM(Inventory_Live!$E$2:$E$201)</f>
        <v/>
      </c>
      <c r="C18" s="1" t="n"/>
      <c r="D18" s="1" t="n"/>
      <c r="E18" s="1" t="n"/>
    </row>
    <row r="19">
      <c r="A19" s="37" t="inlineStr">
        <is>
          <t>Warehouse</t>
        </is>
      </c>
      <c r="B19" s="40">
        <f>SUM(Inventory_Live!$F$2:$F$201)</f>
        <v/>
      </c>
      <c r="C19" s="1" t="n"/>
      <c r="D19" s="1" t="n"/>
      <c r="E19" s="1" t="n"/>
    </row>
    <row r="20">
      <c r="A20" s="37" t="inlineStr">
        <is>
          <t>Total units</t>
        </is>
      </c>
      <c r="B20" s="40">
        <f>SUM(Inventory_Live!$G$2:$G$201)</f>
        <v/>
      </c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</sheetData>
  <mergeCells count="17">
    <mergeCell ref="B10:D10"/>
    <mergeCell ref="J5:L5"/>
    <mergeCell ref="F10:H10"/>
    <mergeCell ref="F11:H13"/>
    <mergeCell ref="B5:D5"/>
    <mergeCell ref="J11:L13"/>
    <mergeCell ref="F5:H5"/>
    <mergeCell ref="J10:L10"/>
    <mergeCell ref="B6:D8"/>
    <mergeCell ref="J6:L8"/>
    <mergeCell ref="F6:H8"/>
    <mergeCell ref="A1:L2"/>
    <mergeCell ref="F17:L20"/>
    <mergeCell ref="A16:D16"/>
    <mergeCell ref="F16:L16"/>
    <mergeCell ref="A3:L3"/>
    <mergeCell ref="B11:D13"/>
  </mergeCells>
  <conditionalFormatting sqref="B17:B20">
    <cfRule type="dataBar" priority="1">
      <dataBar>
        <cfvo type="min"/>
        <cfvo type="max"/>
        <color rgb="00B9A391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7" t="inlineStr">
        <is>
          <t>START HERE</t>
        </is>
      </c>
    </row>
    <row r="2"/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51" t="inlineStr">
        <is>
          <t>This workbook is movement-based and Shopify sync-ready.
Edit only the warm cells in Catalog and Transactions.</t>
        </is>
      </c>
    </row>
    <row r="5"/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54" t="inlineStr">
        <is>
          <t>1. Build your catalog</t>
        </is>
      </c>
      <c r="D8" s="54" t="inlineStr">
        <is>
          <t>2. Log every movement</t>
        </is>
      </c>
      <c r="G8" s="54" t="inlineStr">
        <is>
          <t>3. Let inventory calculate</t>
        </is>
      </c>
    </row>
    <row r="9">
      <c r="A9" s="44" t="inlineStr">
        <is>
          <t>Add each SKU once.
Use the same Variant SKU in Shopify.</t>
        </is>
      </c>
      <c r="D9" s="44" t="inlineStr">
        <is>
          <t>Received, Sold, Transfer In, Transfer Out, Adjustment In, Adjustment Out, Return In.</t>
        </is>
      </c>
      <c r="G9" s="44" t="inlineStr">
        <is>
          <t>Inventory_Live and Dashboard update from the movement log - no manual stock numbers.</t>
        </is>
      </c>
    </row>
    <row r="10"/>
    <row r="11"/>
    <row r="12"/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35" t="inlineStr">
        <is>
          <t>Rules that keep this clean</t>
        </is>
      </c>
    </row>
    <row r="16">
      <c r="A16" s="44" t="inlineStr">
        <is>
          <t>Use one SKU per sellable variant.</t>
        </is>
      </c>
      <c r="B16" s="44">
        <f>A16</f>
        <v/>
      </c>
    </row>
    <row r="17">
      <c r="A17" s="44" t="inlineStr">
        <is>
          <t>Transfers need 2 lines: one Transfer Out and one Transfer In.</t>
        </is>
      </c>
      <c r="B17" s="44">
        <f>A17</f>
        <v/>
      </c>
    </row>
    <row r="18">
      <c r="A18" s="44" t="inlineStr">
        <is>
          <t>Keep quantity positive - the movement type controls the sign automatically.</t>
        </is>
      </c>
      <c r="B18" s="44">
        <f>A18</f>
        <v/>
      </c>
    </row>
    <row r="19">
      <c r="A19" s="44" t="inlineStr">
        <is>
          <t>Do not overwrite formulas in Dashboard, Inventory_Live, or Shopify_Export.</t>
        </is>
      </c>
      <c r="B19" s="44">
        <f>A19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</sheetData>
  <mergeCells count="13">
    <mergeCell ref="A1:J2"/>
    <mergeCell ref="B19:J19"/>
    <mergeCell ref="G8:J8"/>
    <mergeCell ref="A8:C8"/>
    <mergeCell ref="D9:F12"/>
    <mergeCell ref="G9:J12"/>
    <mergeCell ref="B17:J17"/>
    <mergeCell ref="A15:J15"/>
    <mergeCell ref="B18:J18"/>
    <mergeCell ref="A9:C12"/>
    <mergeCell ref="A4:J5"/>
    <mergeCell ref="D8:F8"/>
    <mergeCell ref="B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1" customWidth="1" min="11" max="11"/>
    <col width="12" customWidth="1" min="12" max="12"/>
    <col width="13" customWidth="1" min="13" max="13"/>
    <col width="10" customWidth="1" min="14" max="14"/>
  </cols>
  <sheetData>
    <row r="1" ht="22" customHeight="1">
      <c r="A1" s="54" t="inlineStr">
        <is>
          <t>SKU</t>
        </is>
      </c>
      <c r="B1" s="54" t="inlineStr">
        <is>
          <t>Handle</t>
        </is>
      </c>
      <c r="C1" s="54" t="inlineStr">
        <is>
          <t>Product</t>
        </is>
      </c>
      <c r="D1" s="54" t="inlineStr">
        <is>
          <t>Variant</t>
        </is>
      </c>
      <c r="E1" s="54" t="inlineStr">
        <is>
          <t>Category</t>
        </is>
      </c>
      <c r="F1" s="54" t="inlineStr">
        <is>
          <t>Vendor</t>
        </is>
      </c>
      <c r="G1" s="54" t="inlineStr">
        <is>
          <t>Product Type</t>
        </is>
      </c>
      <c r="H1" s="54" t="inlineStr">
        <is>
          <t>Option1 Name</t>
        </is>
      </c>
      <c r="I1" s="54" t="inlineStr">
        <is>
          <t>Option1 Value</t>
        </is>
      </c>
      <c r="J1" s="54" t="inlineStr">
        <is>
          <t>Barcode</t>
        </is>
      </c>
      <c r="K1" s="54" t="inlineStr">
        <is>
          <t>Cost</t>
        </is>
      </c>
      <c r="L1" s="54" t="inlineStr">
        <is>
          <t>Retail Price</t>
        </is>
      </c>
      <c r="M1" s="54" t="inlineStr">
        <is>
          <t>Reorder Point</t>
        </is>
      </c>
      <c r="N1" s="54" t="inlineStr">
        <is>
          <t>Active</t>
        </is>
      </c>
    </row>
    <row r="2">
      <c r="A2" s="57" t="inlineStr">
        <is>
          <t>SKU-001</t>
        </is>
      </c>
      <c r="B2" s="57" t="inlineStr">
        <is>
          <t>signature-soap</t>
        </is>
      </c>
      <c r="C2" s="57" t="inlineStr">
        <is>
          <t>Signature Soap</t>
        </is>
      </c>
      <c r="D2" s="57" t="inlineStr">
        <is>
          <t>500 ml</t>
        </is>
      </c>
      <c r="E2" s="57" t="inlineStr">
        <is>
          <t>Body</t>
        </is>
      </c>
      <c r="F2" s="57" t="inlineStr">
        <is>
          <t>Your Brand</t>
        </is>
      </c>
      <c r="G2" s="57" t="inlineStr">
        <is>
          <t>Body care</t>
        </is>
      </c>
      <c r="H2" s="57" t="inlineStr">
        <is>
          <t>Size</t>
        </is>
      </c>
      <c r="I2" s="57" t="inlineStr">
        <is>
          <t>500 ml</t>
        </is>
      </c>
      <c r="J2" s="57" t="str"/>
      <c r="K2" s="71" t="n">
        <v>18</v>
      </c>
      <c r="L2" s="71" t="n">
        <v>39</v>
      </c>
      <c r="M2" s="58" t="n">
        <v>6</v>
      </c>
      <c r="N2" s="57" t="inlineStr">
        <is>
          <t>Yes</t>
        </is>
      </c>
    </row>
    <row r="3">
      <c r="A3" s="57" t="inlineStr">
        <is>
          <t>SKU-002</t>
        </is>
      </c>
      <c r="B3" s="57" t="inlineStr">
        <is>
          <t>signature-soap</t>
        </is>
      </c>
      <c r="C3" s="57" t="inlineStr">
        <is>
          <t>Signature Soap</t>
        </is>
      </c>
      <c r="D3" s="57" t="inlineStr">
        <is>
          <t>250 ml</t>
        </is>
      </c>
      <c r="E3" s="57" t="inlineStr">
        <is>
          <t>Body</t>
        </is>
      </c>
      <c r="F3" s="57" t="inlineStr">
        <is>
          <t>Your Brand</t>
        </is>
      </c>
      <c r="G3" s="57" t="inlineStr">
        <is>
          <t>Body care</t>
        </is>
      </c>
      <c r="H3" s="57" t="inlineStr">
        <is>
          <t>Size</t>
        </is>
      </c>
      <c r="I3" s="57" t="inlineStr">
        <is>
          <t>250 ml</t>
        </is>
      </c>
      <c r="J3" s="57" t="str"/>
      <c r="K3" s="71" t="n">
        <v>11</v>
      </c>
      <c r="L3" s="71" t="n">
        <v>24</v>
      </c>
      <c r="M3" s="58" t="n">
        <v>8</v>
      </c>
      <c r="N3" s="57" t="inlineStr">
        <is>
          <t>Yes</t>
        </is>
      </c>
    </row>
    <row r="4">
      <c r="A4" s="57" t="inlineStr">
        <is>
          <t>SKU-003</t>
        </is>
      </c>
      <c r="B4" s="57" t="inlineStr">
        <is>
          <t>candle-stone</t>
        </is>
      </c>
      <c r="C4" s="57" t="inlineStr">
        <is>
          <t>Stone Candle</t>
        </is>
      </c>
      <c r="D4" s="57" t="inlineStr">
        <is>
          <t>Standard</t>
        </is>
      </c>
      <c r="E4" s="57" t="inlineStr">
        <is>
          <t>Home</t>
        </is>
      </c>
      <c r="F4" s="57" t="inlineStr">
        <is>
          <t>Your Brand</t>
        </is>
      </c>
      <c r="G4" s="57" t="inlineStr">
        <is>
          <t>Home fragrance</t>
        </is>
      </c>
      <c r="H4" s="57" t="inlineStr">
        <is>
          <t>Title</t>
        </is>
      </c>
      <c r="I4" s="57" t="inlineStr">
        <is>
          <t>Default Title</t>
        </is>
      </c>
      <c r="J4" s="57" t="str"/>
      <c r="K4" s="71" t="n">
        <v>22</v>
      </c>
      <c r="L4" s="71" t="n">
        <v>48</v>
      </c>
      <c r="M4" s="58" t="n">
        <v>4</v>
      </c>
      <c r="N4" s="57" t="inlineStr">
        <is>
          <t>Yes</t>
        </is>
      </c>
    </row>
    <row r="5">
      <c r="A5" s="57" t="n"/>
      <c r="B5" s="57" t="n"/>
      <c r="C5" s="57" t="n"/>
      <c r="D5" s="57" t="n"/>
      <c r="E5" s="57" t="n"/>
      <c r="F5" s="57" t="n"/>
      <c r="G5" s="57" t="n"/>
      <c r="H5" s="57" t="n"/>
      <c r="I5" s="57" t="n"/>
      <c r="J5" s="57" t="n"/>
      <c r="K5" s="71" t="n"/>
      <c r="L5" s="71" t="n"/>
      <c r="M5" s="58" t="n"/>
      <c r="N5" s="57" t="n"/>
    </row>
    <row r="6">
      <c r="A6" s="57" t="n"/>
      <c r="B6" s="57" t="n"/>
      <c r="C6" s="57" t="n"/>
      <c r="D6" s="57" t="n"/>
      <c r="E6" s="57" t="n"/>
      <c r="F6" s="57" t="n"/>
      <c r="G6" s="57" t="n"/>
      <c r="H6" s="57" t="n"/>
      <c r="I6" s="57" t="n"/>
      <c r="J6" s="57" t="n"/>
      <c r="K6" s="71" t="n"/>
      <c r="L6" s="71" t="n"/>
      <c r="M6" s="58" t="n"/>
      <c r="N6" s="57" t="n"/>
    </row>
    <row r="7">
      <c r="A7" s="57" t="n"/>
      <c r="B7" s="57" t="n"/>
      <c r="C7" s="57" t="n"/>
      <c r="D7" s="57" t="n"/>
      <c r="E7" s="57" t="n"/>
      <c r="F7" s="57" t="n"/>
      <c r="G7" s="57" t="n"/>
      <c r="H7" s="57" t="n"/>
      <c r="I7" s="57" t="n"/>
      <c r="J7" s="57" t="n"/>
      <c r="K7" s="71" t="n"/>
      <c r="L7" s="71" t="n"/>
      <c r="M7" s="58" t="n"/>
      <c r="N7" s="57" t="n"/>
    </row>
    <row r="8">
      <c r="A8" s="57" t="n"/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71" t="n"/>
      <c r="L8" s="71" t="n"/>
      <c r="M8" s="58" t="n"/>
      <c r="N8" s="57" t="n"/>
    </row>
    <row r="9">
      <c r="A9" s="57" t="n"/>
      <c r="B9" s="57" t="n"/>
      <c r="C9" s="57" t="n"/>
      <c r="D9" s="57" t="n"/>
      <c r="E9" s="57" t="n"/>
      <c r="F9" s="57" t="n"/>
      <c r="G9" s="57" t="n"/>
      <c r="H9" s="57" t="n"/>
      <c r="I9" s="57" t="n"/>
      <c r="J9" s="57" t="n"/>
      <c r="K9" s="71" t="n"/>
      <c r="L9" s="71" t="n"/>
      <c r="M9" s="58" t="n"/>
      <c r="N9" s="57" t="n"/>
    </row>
    <row r="10">
      <c r="A10" s="57" t="n"/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71" t="n"/>
      <c r="L10" s="71" t="n"/>
      <c r="M10" s="58" t="n"/>
      <c r="N10" s="57" t="n"/>
    </row>
    <row r="11">
      <c r="A11" s="57" t="n"/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71" t="n"/>
      <c r="L11" s="71" t="n"/>
      <c r="M11" s="58" t="n"/>
      <c r="N11" s="57" t="n"/>
    </row>
    <row r="12">
      <c r="A12" s="57" t="n"/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71" t="n"/>
      <c r="L12" s="71" t="n"/>
      <c r="M12" s="58" t="n"/>
      <c r="N12" s="57" t="n"/>
    </row>
    <row r="13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71" t="n"/>
      <c r="L13" s="71" t="n"/>
      <c r="M13" s="58" t="n"/>
      <c r="N13" s="57" t="n"/>
    </row>
    <row r="14">
      <c r="A14" s="57" t="n"/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71" t="n"/>
      <c r="L14" s="71" t="n"/>
      <c r="M14" s="58" t="n"/>
      <c r="N14" s="57" t="n"/>
    </row>
    <row r="15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71" t="n"/>
      <c r="L15" s="71" t="n"/>
      <c r="M15" s="58" t="n"/>
      <c r="N15" s="57" t="n"/>
    </row>
    <row r="16">
      <c r="A16" s="57" t="n"/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71" t="n"/>
      <c r="L16" s="71" t="n"/>
      <c r="M16" s="58" t="n"/>
      <c r="N16" s="57" t="n"/>
    </row>
    <row r="17">
      <c r="A17" s="57" t="n"/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71" t="n"/>
      <c r="L17" s="71" t="n"/>
      <c r="M17" s="58" t="n"/>
      <c r="N17" s="57" t="n"/>
    </row>
    <row r="18">
      <c r="A18" s="57" t="n"/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71" t="n"/>
      <c r="L18" s="71" t="n"/>
      <c r="M18" s="58" t="n"/>
      <c r="N18" s="57" t="n"/>
    </row>
    <row r="19">
      <c r="A19" s="57" t="n"/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71" t="n"/>
      <c r="L19" s="71" t="n"/>
      <c r="M19" s="58" t="n"/>
      <c r="N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71" t="n"/>
      <c r="L20" s="71" t="n"/>
      <c r="M20" s="58" t="n"/>
      <c r="N20" s="57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71" t="n"/>
      <c r="L21" s="71" t="n"/>
      <c r="M21" s="58" t="n"/>
      <c r="N21" s="57" t="n"/>
    </row>
    <row r="22">
      <c r="A22" s="57" t="n"/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71" t="n"/>
      <c r="L22" s="71" t="n"/>
      <c r="M22" s="58" t="n"/>
      <c r="N22" s="57" t="n"/>
    </row>
    <row r="23">
      <c r="A23" s="57" t="n"/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71" t="n"/>
      <c r="L23" s="71" t="n"/>
      <c r="M23" s="58" t="n"/>
      <c r="N23" s="57" t="n"/>
    </row>
    <row r="24">
      <c r="A24" s="57" t="n"/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71" t="n"/>
      <c r="L24" s="71" t="n"/>
      <c r="M24" s="58" t="n"/>
      <c r="N24" s="57" t="n"/>
    </row>
    <row r="25">
      <c r="A25" s="57" t="n"/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71" t="n"/>
      <c r="L25" s="71" t="n"/>
      <c r="M25" s="58" t="n"/>
      <c r="N25" s="57" t="n"/>
    </row>
    <row r="26">
      <c r="A26" s="57" t="n"/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71" t="n"/>
      <c r="L26" s="71" t="n"/>
      <c r="M26" s="58" t="n"/>
      <c r="N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71" t="n"/>
      <c r="L27" s="71" t="n"/>
      <c r="M27" s="58" t="n"/>
      <c r="N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71" t="n"/>
      <c r="L28" s="71" t="n"/>
      <c r="M28" s="58" t="n"/>
      <c r="N28" s="57" t="n"/>
    </row>
    <row r="29">
      <c r="A29" s="57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71" t="n"/>
      <c r="L29" s="71" t="n"/>
      <c r="M29" s="58" t="n"/>
      <c r="N29" s="57" t="n"/>
    </row>
    <row r="30">
      <c r="A30" s="57" t="n"/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71" t="n"/>
      <c r="L30" s="71" t="n"/>
      <c r="M30" s="58" t="n"/>
      <c r="N30" s="57" t="n"/>
    </row>
    <row r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71" t="n"/>
      <c r="L31" s="71" t="n"/>
      <c r="M31" s="58" t="n"/>
      <c r="N31" s="57" t="n"/>
    </row>
    <row r="32">
      <c r="A32" s="57" t="n"/>
      <c r="B32" s="57" t="n"/>
      <c r="C32" s="57" t="n"/>
      <c r="D32" s="57" t="n"/>
      <c r="E32" s="57" t="n"/>
      <c r="F32" s="57" t="n"/>
      <c r="G32" s="57" t="n"/>
      <c r="H32" s="57" t="n"/>
      <c r="I32" s="57" t="n"/>
      <c r="J32" s="57" t="n"/>
      <c r="K32" s="71" t="n"/>
      <c r="L32" s="71" t="n"/>
      <c r="M32" s="58" t="n"/>
      <c r="N32" s="57" t="n"/>
    </row>
    <row r="33">
      <c r="A33" s="57" t="n"/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71" t="n"/>
      <c r="L33" s="71" t="n"/>
      <c r="M33" s="58" t="n"/>
      <c r="N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71" t="n"/>
      <c r="L34" s="71" t="n"/>
      <c r="M34" s="58" t="n"/>
      <c r="N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71" t="n"/>
      <c r="L35" s="71" t="n"/>
      <c r="M35" s="58" t="n"/>
      <c r="N35" s="57" t="n"/>
    </row>
    <row r="36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71" t="n"/>
      <c r="L36" s="71" t="n"/>
      <c r="M36" s="58" t="n"/>
      <c r="N36" s="57" t="n"/>
    </row>
    <row r="37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71" t="n"/>
      <c r="L37" s="71" t="n"/>
      <c r="M37" s="58" t="n"/>
      <c r="N37" s="57" t="n"/>
    </row>
    <row r="38">
      <c r="A38" s="57" t="n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71" t="n"/>
      <c r="L38" s="71" t="n"/>
      <c r="M38" s="58" t="n"/>
      <c r="N38" s="57" t="n"/>
    </row>
    <row r="39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71" t="n"/>
      <c r="L39" s="71" t="n"/>
      <c r="M39" s="58" t="n"/>
      <c r="N39" s="57" t="n"/>
    </row>
    <row r="40">
      <c r="A40" s="57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71" t="n"/>
      <c r="L40" s="71" t="n"/>
      <c r="M40" s="58" t="n"/>
      <c r="N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71" t="n"/>
      <c r="L41" s="71" t="n"/>
      <c r="M41" s="58" t="n"/>
      <c r="N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71" t="n"/>
      <c r="L42" s="71" t="n"/>
      <c r="M42" s="58" t="n"/>
      <c r="N42" s="57" t="n"/>
    </row>
    <row r="43">
      <c r="A43" s="57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71" t="n"/>
      <c r="L43" s="71" t="n"/>
      <c r="M43" s="58" t="n"/>
      <c r="N43" s="57" t="n"/>
    </row>
    <row r="44">
      <c r="A44" s="57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71" t="n"/>
      <c r="L44" s="71" t="n"/>
      <c r="M44" s="58" t="n"/>
      <c r="N44" s="57" t="n"/>
    </row>
    <row r="45">
      <c r="A45" s="57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71" t="n"/>
      <c r="L45" s="71" t="n"/>
      <c r="M45" s="58" t="n"/>
      <c r="N45" s="57" t="n"/>
    </row>
    <row r="46">
      <c r="A46" s="57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71" t="n"/>
      <c r="L46" s="71" t="n"/>
      <c r="M46" s="58" t="n"/>
      <c r="N46" s="57" t="n"/>
    </row>
    <row r="47">
      <c r="A47" s="57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71" t="n"/>
      <c r="L47" s="71" t="n"/>
      <c r="M47" s="58" t="n"/>
      <c r="N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71" t="n"/>
      <c r="L48" s="71" t="n"/>
      <c r="M48" s="58" t="n"/>
      <c r="N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71" t="n"/>
      <c r="L49" s="71" t="n"/>
      <c r="M49" s="58" t="n"/>
      <c r="N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71" t="n"/>
      <c r="L50" s="71" t="n"/>
      <c r="M50" s="58" t="n"/>
      <c r="N50" s="57" t="n"/>
    </row>
    <row r="5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71" t="n"/>
      <c r="L51" s="71" t="n"/>
      <c r="M51" s="58" t="n"/>
      <c r="N51" s="57" t="n"/>
    </row>
    <row r="52">
      <c r="A52" s="57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71" t="n"/>
      <c r="L52" s="71" t="n"/>
      <c r="M52" s="58" t="n"/>
      <c r="N52" s="57" t="n"/>
    </row>
    <row r="53">
      <c r="A53" s="57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71" t="n"/>
      <c r="L53" s="71" t="n"/>
      <c r="M53" s="58" t="n"/>
      <c r="N53" s="57" t="n"/>
    </row>
    <row r="54">
      <c r="A54" s="57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71" t="n"/>
      <c r="L54" s="71" t="n"/>
      <c r="M54" s="58" t="n"/>
      <c r="N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71" t="n"/>
      <c r="L55" s="71" t="n"/>
      <c r="M55" s="58" t="n"/>
      <c r="N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71" t="n"/>
      <c r="L56" s="71" t="n"/>
      <c r="M56" s="58" t="n"/>
      <c r="N56" s="57" t="n"/>
    </row>
    <row r="57">
      <c r="A57" s="57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71" t="n"/>
      <c r="L57" s="71" t="n"/>
      <c r="M57" s="58" t="n"/>
      <c r="N57" s="57" t="n"/>
    </row>
    <row r="58">
      <c r="A58" s="57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71" t="n"/>
      <c r="L58" s="71" t="n"/>
      <c r="M58" s="58" t="n"/>
      <c r="N58" s="57" t="n"/>
    </row>
    <row r="59">
      <c r="A59" s="57" t="n"/>
      <c r="B59" s="57" t="n"/>
      <c r="C59" s="57" t="n"/>
      <c r="D59" s="57" t="n"/>
      <c r="E59" s="57" t="n"/>
      <c r="F59" s="57" t="n"/>
      <c r="G59" s="57" t="n"/>
      <c r="H59" s="57" t="n"/>
      <c r="I59" s="57" t="n"/>
      <c r="J59" s="57" t="n"/>
      <c r="K59" s="71" t="n"/>
      <c r="L59" s="71" t="n"/>
      <c r="M59" s="58" t="n"/>
      <c r="N59" s="57" t="n"/>
    </row>
    <row r="60">
      <c r="A60" s="57" t="n"/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  <c r="K60" s="71" t="n"/>
      <c r="L60" s="71" t="n"/>
      <c r="M60" s="58" t="n"/>
      <c r="N60" s="57" t="n"/>
    </row>
    <row r="61">
      <c r="A61" s="57" t="n"/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71" t="n"/>
      <c r="L61" s="71" t="n"/>
      <c r="M61" s="58" t="n"/>
      <c r="N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71" t="n"/>
      <c r="L62" s="71" t="n"/>
      <c r="M62" s="58" t="n"/>
      <c r="N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71" t="n"/>
      <c r="L63" s="71" t="n"/>
      <c r="M63" s="58" t="n"/>
      <c r="N63" s="57" t="n"/>
    </row>
    <row r="64">
      <c r="A64" s="57" t="n"/>
      <c r="B64" s="57" t="n"/>
      <c r="C64" s="57" t="n"/>
      <c r="D64" s="57" t="n"/>
      <c r="E64" s="57" t="n"/>
      <c r="F64" s="57" t="n"/>
      <c r="G64" s="57" t="n"/>
      <c r="H64" s="57" t="n"/>
      <c r="I64" s="57" t="n"/>
      <c r="J64" s="57" t="n"/>
      <c r="K64" s="71" t="n"/>
      <c r="L64" s="71" t="n"/>
      <c r="M64" s="58" t="n"/>
      <c r="N64" s="57" t="n"/>
    </row>
    <row r="65">
      <c r="A65" s="57" t="n"/>
      <c r="B65" s="57" t="n"/>
      <c r="C65" s="57" t="n"/>
      <c r="D65" s="57" t="n"/>
      <c r="E65" s="57" t="n"/>
      <c r="F65" s="57" t="n"/>
      <c r="G65" s="57" t="n"/>
      <c r="H65" s="57" t="n"/>
      <c r="I65" s="57" t="n"/>
      <c r="J65" s="57" t="n"/>
      <c r="K65" s="71" t="n"/>
      <c r="L65" s="71" t="n"/>
      <c r="M65" s="58" t="n"/>
      <c r="N65" s="57" t="n"/>
    </row>
    <row r="66">
      <c r="A66" s="57" t="n"/>
      <c r="B66" s="57" t="n"/>
      <c r="C66" s="57" t="n"/>
      <c r="D66" s="57" t="n"/>
      <c r="E66" s="57" t="n"/>
      <c r="F66" s="57" t="n"/>
      <c r="G66" s="57" t="n"/>
      <c r="H66" s="57" t="n"/>
      <c r="I66" s="57" t="n"/>
      <c r="J66" s="57" t="n"/>
      <c r="K66" s="71" t="n"/>
      <c r="L66" s="71" t="n"/>
      <c r="M66" s="58" t="n"/>
      <c r="N66" s="57" t="n"/>
    </row>
    <row r="67">
      <c r="A67" s="57" t="n"/>
      <c r="B67" s="57" t="n"/>
      <c r="C67" s="57" t="n"/>
      <c r="D67" s="57" t="n"/>
      <c r="E67" s="57" t="n"/>
      <c r="F67" s="57" t="n"/>
      <c r="G67" s="57" t="n"/>
      <c r="H67" s="57" t="n"/>
      <c r="I67" s="57" t="n"/>
      <c r="J67" s="57" t="n"/>
      <c r="K67" s="71" t="n"/>
      <c r="L67" s="71" t="n"/>
      <c r="M67" s="58" t="n"/>
      <c r="N67" s="57" t="n"/>
    </row>
    <row r="68">
      <c r="A68" s="57" t="n"/>
      <c r="B68" s="57" t="n"/>
      <c r="C68" s="57" t="n"/>
      <c r="D68" s="57" t="n"/>
      <c r="E68" s="57" t="n"/>
      <c r="F68" s="57" t="n"/>
      <c r="G68" s="57" t="n"/>
      <c r="H68" s="57" t="n"/>
      <c r="I68" s="57" t="n"/>
      <c r="J68" s="57" t="n"/>
      <c r="K68" s="71" t="n"/>
      <c r="L68" s="71" t="n"/>
      <c r="M68" s="58" t="n"/>
      <c r="N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71" t="n"/>
      <c r="L69" s="71" t="n"/>
      <c r="M69" s="58" t="n"/>
      <c r="N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71" t="n"/>
      <c r="L70" s="71" t="n"/>
      <c r="M70" s="58" t="n"/>
      <c r="N70" s="57" t="n"/>
    </row>
    <row r="71">
      <c r="A71" s="57" t="n"/>
      <c r="B71" s="57" t="n"/>
      <c r="C71" s="57" t="n"/>
      <c r="D71" s="57" t="n"/>
      <c r="E71" s="57" t="n"/>
      <c r="F71" s="57" t="n"/>
      <c r="G71" s="57" t="n"/>
      <c r="H71" s="57" t="n"/>
      <c r="I71" s="57" t="n"/>
      <c r="J71" s="57" t="n"/>
      <c r="K71" s="71" t="n"/>
      <c r="L71" s="71" t="n"/>
      <c r="M71" s="58" t="n"/>
      <c r="N71" s="57" t="n"/>
    </row>
    <row r="72">
      <c r="A72" s="57" t="n"/>
      <c r="B72" s="57" t="n"/>
      <c r="C72" s="57" t="n"/>
      <c r="D72" s="57" t="n"/>
      <c r="E72" s="57" t="n"/>
      <c r="F72" s="57" t="n"/>
      <c r="G72" s="57" t="n"/>
      <c r="H72" s="57" t="n"/>
      <c r="I72" s="57" t="n"/>
      <c r="J72" s="57" t="n"/>
      <c r="K72" s="71" t="n"/>
      <c r="L72" s="71" t="n"/>
      <c r="M72" s="58" t="n"/>
      <c r="N72" s="57" t="n"/>
    </row>
    <row r="73">
      <c r="A73" s="57" t="n"/>
      <c r="B73" s="57" t="n"/>
      <c r="C73" s="57" t="n"/>
      <c r="D73" s="57" t="n"/>
      <c r="E73" s="57" t="n"/>
      <c r="F73" s="57" t="n"/>
      <c r="G73" s="57" t="n"/>
      <c r="H73" s="57" t="n"/>
      <c r="I73" s="57" t="n"/>
      <c r="J73" s="57" t="n"/>
      <c r="K73" s="71" t="n"/>
      <c r="L73" s="71" t="n"/>
      <c r="M73" s="58" t="n"/>
      <c r="N73" s="57" t="n"/>
    </row>
    <row r="74">
      <c r="A74" s="57" t="n"/>
      <c r="B74" s="57" t="n"/>
      <c r="C74" s="57" t="n"/>
      <c r="D74" s="57" t="n"/>
      <c r="E74" s="57" t="n"/>
      <c r="F74" s="57" t="n"/>
      <c r="G74" s="57" t="n"/>
      <c r="H74" s="57" t="n"/>
      <c r="I74" s="57" t="n"/>
      <c r="J74" s="57" t="n"/>
      <c r="K74" s="71" t="n"/>
      <c r="L74" s="71" t="n"/>
      <c r="M74" s="58" t="n"/>
      <c r="N74" s="57" t="n"/>
    </row>
    <row r="75">
      <c r="A75" s="57" t="n"/>
      <c r="B75" s="57" t="n"/>
      <c r="C75" s="57" t="n"/>
      <c r="D75" s="57" t="n"/>
      <c r="E75" s="57" t="n"/>
      <c r="F75" s="57" t="n"/>
      <c r="G75" s="57" t="n"/>
      <c r="H75" s="57" t="n"/>
      <c r="I75" s="57" t="n"/>
      <c r="J75" s="57" t="n"/>
      <c r="K75" s="71" t="n"/>
      <c r="L75" s="71" t="n"/>
      <c r="M75" s="58" t="n"/>
      <c r="N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71" t="n"/>
      <c r="L76" s="71" t="n"/>
      <c r="M76" s="58" t="n"/>
      <c r="N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71" t="n"/>
      <c r="L77" s="71" t="n"/>
      <c r="M77" s="58" t="n"/>
      <c r="N77" s="57" t="n"/>
    </row>
    <row r="78">
      <c r="A78" s="57" t="n"/>
      <c r="B78" s="57" t="n"/>
      <c r="C78" s="57" t="n"/>
      <c r="D78" s="57" t="n"/>
      <c r="E78" s="57" t="n"/>
      <c r="F78" s="57" t="n"/>
      <c r="G78" s="57" t="n"/>
      <c r="H78" s="57" t="n"/>
      <c r="I78" s="57" t="n"/>
      <c r="J78" s="57" t="n"/>
      <c r="K78" s="71" t="n"/>
      <c r="L78" s="71" t="n"/>
      <c r="M78" s="58" t="n"/>
      <c r="N78" s="57" t="n"/>
    </row>
    <row r="79">
      <c r="A79" s="57" t="n"/>
      <c r="B79" s="57" t="n"/>
      <c r="C79" s="57" t="n"/>
      <c r="D79" s="57" t="n"/>
      <c r="E79" s="57" t="n"/>
      <c r="F79" s="57" t="n"/>
      <c r="G79" s="57" t="n"/>
      <c r="H79" s="57" t="n"/>
      <c r="I79" s="57" t="n"/>
      <c r="J79" s="57" t="n"/>
      <c r="K79" s="71" t="n"/>
      <c r="L79" s="71" t="n"/>
      <c r="M79" s="58" t="n"/>
      <c r="N79" s="57" t="n"/>
    </row>
    <row r="80">
      <c r="A80" s="57" t="n"/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71" t="n"/>
      <c r="L80" s="71" t="n"/>
      <c r="M80" s="58" t="n"/>
      <c r="N80" s="57" t="n"/>
    </row>
    <row r="81">
      <c r="A81" s="57" t="n"/>
      <c r="B81" s="57" t="n"/>
      <c r="C81" s="57" t="n"/>
      <c r="D81" s="57" t="n"/>
      <c r="E81" s="57" t="n"/>
      <c r="F81" s="57" t="n"/>
      <c r="G81" s="57" t="n"/>
      <c r="H81" s="57" t="n"/>
      <c r="I81" s="57" t="n"/>
      <c r="J81" s="57" t="n"/>
      <c r="K81" s="71" t="n"/>
      <c r="L81" s="71" t="n"/>
      <c r="M81" s="58" t="n"/>
      <c r="N81" s="57" t="n"/>
    </row>
    <row r="82">
      <c r="A82" s="57" t="n"/>
      <c r="B82" s="57" t="n"/>
      <c r="C82" s="57" t="n"/>
      <c r="D82" s="57" t="n"/>
      <c r="E82" s="57" t="n"/>
      <c r="F82" s="57" t="n"/>
      <c r="G82" s="57" t="n"/>
      <c r="H82" s="57" t="n"/>
      <c r="I82" s="57" t="n"/>
      <c r="J82" s="57" t="n"/>
      <c r="K82" s="71" t="n"/>
      <c r="L82" s="71" t="n"/>
      <c r="M82" s="58" t="n"/>
      <c r="N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71" t="n"/>
      <c r="L83" s="71" t="n"/>
      <c r="M83" s="58" t="n"/>
      <c r="N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71" t="n"/>
      <c r="L84" s="71" t="n"/>
      <c r="M84" s="58" t="n"/>
      <c r="N84" s="57" t="n"/>
    </row>
    <row r="85">
      <c r="A85" s="57" t="n"/>
      <c r="B85" s="57" t="n"/>
      <c r="C85" s="57" t="n"/>
      <c r="D85" s="57" t="n"/>
      <c r="E85" s="57" t="n"/>
      <c r="F85" s="57" t="n"/>
      <c r="G85" s="57" t="n"/>
      <c r="H85" s="57" t="n"/>
      <c r="I85" s="57" t="n"/>
      <c r="J85" s="57" t="n"/>
      <c r="K85" s="71" t="n"/>
      <c r="L85" s="71" t="n"/>
      <c r="M85" s="58" t="n"/>
      <c r="N85" s="57" t="n"/>
    </row>
    <row r="86">
      <c r="A86" s="57" t="n"/>
      <c r="B86" s="57" t="n"/>
      <c r="C86" s="57" t="n"/>
      <c r="D86" s="57" t="n"/>
      <c r="E86" s="57" t="n"/>
      <c r="F86" s="57" t="n"/>
      <c r="G86" s="57" t="n"/>
      <c r="H86" s="57" t="n"/>
      <c r="I86" s="57" t="n"/>
      <c r="J86" s="57" t="n"/>
      <c r="K86" s="71" t="n"/>
      <c r="L86" s="71" t="n"/>
      <c r="M86" s="58" t="n"/>
      <c r="N86" s="57" t="n"/>
    </row>
    <row r="87">
      <c r="A87" s="57" t="n"/>
      <c r="B87" s="57" t="n"/>
      <c r="C87" s="57" t="n"/>
      <c r="D87" s="57" t="n"/>
      <c r="E87" s="57" t="n"/>
      <c r="F87" s="57" t="n"/>
      <c r="G87" s="57" t="n"/>
      <c r="H87" s="57" t="n"/>
      <c r="I87" s="57" t="n"/>
      <c r="J87" s="57" t="n"/>
      <c r="K87" s="71" t="n"/>
      <c r="L87" s="71" t="n"/>
      <c r="M87" s="58" t="n"/>
      <c r="N87" s="57" t="n"/>
    </row>
    <row r="88">
      <c r="A88" s="57" t="n"/>
      <c r="B88" s="57" t="n"/>
      <c r="C88" s="57" t="n"/>
      <c r="D88" s="57" t="n"/>
      <c r="E88" s="57" t="n"/>
      <c r="F88" s="57" t="n"/>
      <c r="G88" s="57" t="n"/>
      <c r="H88" s="57" t="n"/>
      <c r="I88" s="57" t="n"/>
      <c r="J88" s="57" t="n"/>
      <c r="K88" s="71" t="n"/>
      <c r="L88" s="71" t="n"/>
      <c r="M88" s="58" t="n"/>
      <c r="N88" s="57" t="n"/>
    </row>
    <row r="89">
      <c r="A89" s="57" t="n"/>
      <c r="B89" s="57" t="n"/>
      <c r="C89" s="57" t="n"/>
      <c r="D89" s="57" t="n"/>
      <c r="E89" s="57" t="n"/>
      <c r="F89" s="57" t="n"/>
      <c r="G89" s="57" t="n"/>
      <c r="H89" s="57" t="n"/>
      <c r="I89" s="57" t="n"/>
      <c r="J89" s="57" t="n"/>
      <c r="K89" s="71" t="n"/>
      <c r="L89" s="71" t="n"/>
      <c r="M89" s="58" t="n"/>
      <c r="N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71" t="n"/>
      <c r="L90" s="71" t="n"/>
      <c r="M90" s="58" t="n"/>
      <c r="N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71" t="n"/>
      <c r="L91" s="71" t="n"/>
      <c r="M91" s="58" t="n"/>
      <c r="N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71" t="n"/>
      <c r="L92" s="71" t="n"/>
      <c r="M92" s="58" t="n"/>
      <c r="N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71" t="n"/>
      <c r="L93" s="71" t="n"/>
      <c r="M93" s="58" t="n"/>
      <c r="N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71" t="n"/>
      <c r="L94" s="71" t="n"/>
      <c r="M94" s="58" t="n"/>
      <c r="N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71" t="n"/>
      <c r="L95" s="71" t="n"/>
      <c r="M95" s="58" t="n"/>
      <c r="N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71" t="n"/>
      <c r="L96" s="71" t="n"/>
      <c r="M96" s="58" t="n"/>
      <c r="N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71" t="n"/>
      <c r="L97" s="71" t="n"/>
      <c r="M97" s="58" t="n"/>
      <c r="N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71" t="n"/>
      <c r="L98" s="71" t="n"/>
      <c r="M98" s="58" t="n"/>
      <c r="N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71" t="n"/>
      <c r="L99" s="71" t="n"/>
      <c r="M99" s="58" t="n"/>
      <c r="N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71" t="n"/>
      <c r="L100" s="71" t="n"/>
      <c r="M100" s="58" t="n"/>
      <c r="N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71" t="n"/>
      <c r="L101" s="71" t="n"/>
      <c r="M101" s="58" t="n"/>
      <c r="N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71" t="n"/>
      <c r="L102" s="71" t="n"/>
      <c r="M102" s="58" t="n"/>
      <c r="N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71" t="n"/>
      <c r="L103" s="71" t="n"/>
      <c r="M103" s="58" t="n"/>
      <c r="N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71" t="n"/>
      <c r="L104" s="71" t="n"/>
      <c r="M104" s="58" t="n"/>
      <c r="N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71" t="n"/>
      <c r="L105" s="71" t="n"/>
      <c r="M105" s="58" t="n"/>
      <c r="N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71" t="n"/>
      <c r="L106" s="71" t="n"/>
      <c r="M106" s="58" t="n"/>
      <c r="N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71" t="n"/>
      <c r="L107" s="71" t="n"/>
      <c r="M107" s="58" t="n"/>
      <c r="N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71" t="n"/>
      <c r="L108" s="71" t="n"/>
      <c r="M108" s="58" t="n"/>
      <c r="N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71" t="n"/>
      <c r="L109" s="71" t="n"/>
      <c r="M109" s="58" t="n"/>
      <c r="N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71" t="n"/>
      <c r="L110" s="71" t="n"/>
      <c r="M110" s="58" t="n"/>
      <c r="N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71" t="n"/>
      <c r="L111" s="71" t="n"/>
      <c r="M111" s="58" t="n"/>
      <c r="N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71" t="n"/>
      <c r="L112" s="71" t="n"/>
      <c r="M112" s="58" t="n"/>
      <c r="N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71" t="n"/>
      <c r="L113" s="71" t="n"/>
      <c r="M113" s="58" t="n"/>
      <c r="N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71" t="n"/>
      <c r="L114" s="71" t="n"/>
      <c r="M114" s="58" t="n"/>
      <c r="N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71" t="n"/>
      <c r="L115" s="71" t="n"/>
      <c r="M115" s="58" t="n"/>
      <c r="N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71" t="n"/>
      <c r="L116" s="71" t="n"/>
      <c r="M116" s="58" t="n"/>
      <c r="N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71" t="n"/>
      <c r="L117" s="71" t="n"/>
      <c r="M117" s="58" t="n"/>
      <c r="N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71" t="n"/>
      <c r="L118" s="71" t="n"/>
      <c r="M118" s="58" t="n"/>
      <c r="N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71" t="n"/>
      <c r="L119" s="71" t="n"/>
      <c r="M119" s="58" t="n"/>
      <c r="N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71" t="n"/>
      <c r="L120" s="71" t="n"/>
      <c r="M120" s="58" t="n"/>
      <c r="N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71" t="n"/>
      <c r="L121" s="71" t="n"/>
      <c r="M121" s="58" t="n"/>
      <c r="N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71" t="n"/>
      <c r="L122" s="71" t="n"/>
      <c r="M122" s="58" t="n"/>
      <c r="N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71" t="n"/>
      <c r="L123" s="71" t="n"/>
      <c r="M123" s="58" t="n"/>
      <c r="N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71" t="n"/>
      <c r="L124" s="71" t="n"/>
      <c r="M124" s="58" t="n"/>
      <c r="N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71" t="n"/>
      <c r="L125" s="71" t="n"/>
      <c r="M125" s="58" t="n"/>
      <c r="N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71" t="n"/>
      <c r="L126" s="71" t="n"/>
      <c r="M126" s="58" t="n"/>
      <c r="N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71" t="n"/>
      <c r="L127" s="71" t="n"/>
      <c r="M127" s="58" t="n"/>
      <c r="N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71" t="n"/>
      <c r="L128" s="71" t="n"/>
      <c r="M128" s="58" t="n"/>
      <c r="N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71" t="n"/>
      <c r="L129" s="71" t="n"/>
      <c r="M129" s="58" t="n"/>
      <c r="N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71" t="n"/>
      <c r="L130" s="71" t="n"/>
      <c r="M130" s="58" t="n"/>
      <c r="N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71" t="n"/>
      <c r="L131" s="71" t="n"/>
      <c r="M131" s="58" t="n"/>
      <c r="N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71" t="n"/>
      <c r="L132" s="71" t="n"/>
      <c r="M132" s="58" t="n"/>
      <c r="N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71" t="n"/>
      <c r="L133" s="71" t="n"/>
      <c r="M133" s="58" t="n"/>
      <c r="N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71" t="n"/>
      <c r="L134" s="71" t="n"/>
      <c r="M134" s="58" t="n"/>
      <c r="N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71" t="n"/>
      <c r="L135" s="71" t="n"/>
      <c r="M135" s="58" t="n"/>
      <c r="N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71" t="n"/>
      <c r="L136" s="71" t="n"/>
      <c r="M136" s="58" t="n"/>
      <c r="N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71" t="n"/>
      <c r="L137" s="71" t="n"/>
      <c r="M137" s="58" t="n"/>
      <c r="N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71" t="n"/>
      <c r="L138" s="71" t="n"/>
      <c r="M138" s="58" t="n"/>
      <c r="N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71" t="n"/>
      <c r="L139" s="71" t="n"/>
      <c r="M139" s="58" t="n"/>
      <c r="N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71" t="n"/>
      <c r="L140" s="71" t="n"/>
      <c r="M140" s="58" t="n"/>
      <c r="N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71" t="n"/>
      <c r="L141" s="71" t="n"/>
      <c r="M141" s="58" t="n"/>
      <c r="N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71" t="n"/>
      <c r="L142" s="71" t="n"/>
      <c r="M142" s="58" t="n"/>
      <c r="N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71" t="n"/>
      <c r="L143" s="71" t="n"/>
      <c r="M143" s="58" t="n"/>
      <c r="N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71" t="n"/>
      <c r="L144" s="71" t="n"/>
      <c r="M144" s="58" t="n"/>
      <c r="N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71" t="n"/>
      <c r="L145" s="71" t="n"/>
      <c r="M145" s="58" t="n"/>
      <c r="N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71" t="n"/>
      <c r="L146" s="71" t="n"/>
      <c r="M146" s="58" t="n"/>
      <c r="N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71" t="n"/>
      <c r="L147" s="71" t="n"/>
      <c r="M147" s="58" t="n"/>
      <c r="N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71" t="n"/>
      <c r="L148" s="71" t="n"/>
      <c r="M148" s="58" t="n"/>
      <c r="N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71" t="n"/>
      <c r="L149" s="71" t="n"/>
      <c r="M149" s="58" t="n"/>
      <c r="N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71" t="n"/>
      <c r="L150" s="71" t="n"/>
      <c r="M150" s="58" t="n"/>
      <c r="N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71" t="n"/>
      <c r="L151" s="71" t="n"/>
      <c r="M151" s="58" t="n"/>
      <c r="N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71" t="n"/>
      <c r="L152" s="71" t="n"/>
      <c r="M152" s="58" t="n"/>
      <c r="N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71" t="n"/>
      <c r="L153" s="71" t="n"/>
      <c r="M153" s="58" t="n"/>
      <c r="N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71" t="n"/>
      <c r="L154" s="71" t="n"/>
      <c r="M154" s="58" t="n"/>
      <c r="N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71" t="n"/>
      <c r="L155" s="71" t="n"/>
      <c r="M155" s="58" t="n"/>
      <c r="N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71" t="n"/>
      <c r="L156" s="71" t="n"/>
      <c r="M156" s="58" t="n"/>
      <c r="N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71" t="n"/>
      <c r="L157" s="71" t="n"/>
      <c r="M157" s="58" t="n"/>
      <c r="N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71" t="n"/>
      <c r="L158" s="71" t="n"/>
      <c r="M158" s="58" t="n"/>
      <c r="N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71" t="n"/>
      <c r="L159" s="71" t="n"/>
      <c r="M159" s="58" t="n"/>
      <c r="N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71" t="n"/>
      <c r="L160" s="71" t="n"/>
      <c r="M160" s="58" t="n"/>
      <c r="N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71" t="n"/>
      <c r="L161" s="71" t="n"/>
      <c r="M161" s="58" t="n"/>
      <c r="N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71" t="n"/>
      <c r="L162" s="71" t="n"/>
      <c r="M162" s="58" t="n"/>
      <c r="N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71" t="n"/>
      <c r="L163" s="71" t="n"/>
      <c r="M163" s="58" t="n"/>
      <c r="N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71" t="n"/>
      <c r="L164" s="71" t="n"/>
      <c r="M164" s="58" t="n"/>
      <c r="N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71" t="n"/>
      <c r="L165" s="71" t="n"/>
      <c r="M165" s="58" t="n"/>
      <c r="N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71" t="n"/>
      <c r="L166" s="71" t="n"/>
      <c r="M166" s="58" t="n"/>
      <c r="N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71" t="n"/>
      <c r="L167" s="71" t="n"/>
      <c r="M167" s="58" t="n"/>
      <c r="N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71" t="n"/>
      <c r="L168" s="71" t="n"/>
      <c r="M168" s="58" t="n"/>
      <c r="N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71" t="n"/>
      <c r="L169" s="71" t="n"/>
      <c r="M169" s="58" t="n"/>
      <c r="N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71" t="n"/>
      <c r="L170" s="71" t="n"/>
      <c r="M170" s="58" t="n"/>
      <c r="N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71" t="n"/>
      <c r="L171" s="71" t="n"/>
      <c r="M171" s="58" t="n"/>
      <c r="N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71" t="n"/>
      <c r="L172" s="71" t="n"/>
      <c r="M172" s="58" t="n"/>
      <c r="N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71" t="n"/>
      <c r="L173" s="71" t="n"/>
      <c r="M173" s="58" t="n"/>
      <c r="N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71" t="n"/>
      <c r="L174" s="71" t="n"/>
      <c r="M174" s="58" t="n"/>
      <c r="N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71" t="n"/>
      <c r="L175" s="71" t="n"/>
      <c r="M175" s="58" t="n"/>
      <c r="N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71" t="n"/>
      <c r="L176" s="71" t="n"/>
      <c r="M176" s="58" t="n"/>
      <c r="N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71" t="n"/>
      <c r="L177" s="71" t="n"/>
      <c r="M177" s="58" t="n"/>
      <c r="N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71" t="n"/>
      <c r="L178" s="71" t="n"/>
      <c r="M178" s="58" t="n"/>
      <c r="N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71" t="n"/>
      <c r="L179" s="71" t="n"/>
      <c r="M179" s="58" t="n"/>
      <c r="N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71" t="n"/>
      <c r="L180" s="71" t="n"/>
      <c r="M180" s="58" t="n"/>
      <c r="N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71" t="n"/>
      <c r="L181" s="71" t="n"/>
      <c r="M181" s="58" t="n"/>
      <c r="N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71" t="n"/>
      <c r="L182" s="71" t="n"/>
      <c r="M182" s="58" t="n"/>
      <c r="N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71" t="n"/>
      <c r="L183" s="71" t="n"/>
      <c r="M183" s="58" t="n"/>
      <c r="N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71" t="n"/>
      <c r="L184" s="71" t="n"/>
      <c r="M184" s="58" t="n"/>
      <c r="N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71" t="n"/>
      <c r="L185" s="71" t="n"/>
      <c r="M185" s="58" t="n"/>
      <c r="N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71" t="n"/>
      <c r="L186" s="71" t="n"/>
      <c r="M186" s="58" t="n"/>
      <c r="N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71" t="n"/>
      <c r="L187" s="71" t="n"/>
      <c r="M187" s="58" t="n"/>
      <c r="N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71" t="n"/>
      <c r="L188" s="71" t="n"/>
      <c r="M188" s="58" t="n"/>
      <c r="N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71" t="n"/>
      <c r="L189" s="71" t="n"/>
      <c r="M189" s="58" t="n"/>
      <c r="N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71" t="n"/>
      <c r="L190" s="71" t="n"/>
      <c r="M190" s="58" t="n"/>
      <c r="N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71" t="n"/>
      <c r="L191" s="71" t="n"/>
      <c r="M191" s="58" t="n"/>
      <c r="N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71" t="n"/>
      <c r="L192" s="71" t="n"/>
      <c r="M192" s="58" t="n"/>
      <c r="N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71" t="n"/>
      <c r="L193" s="71" t="n"/>
      <c r="M193" s="58" t="n"/>
      <c r="N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71" t="n"/>
      <c r="L194" s="71" t="n"/>
      <c r="M194" s="58" t="n"/>
      <c r="N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71" t="n"/>
      <c r="L195" s="71" t="n"/>
      <c r="M195" s="58" t="n"/>
      <c r="N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71" t="n"/>
      <c r="L196" s="71" t="n"/>
      <c r="M196" s="58" t="n"/>
      <c r="N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71" t="n"/>
      <c r="L197" s="71" t="n"/>
      <c r="M197" s="58" t="n"/>
      <c r="N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71" t="n"/>
      <c r="L198" s="71" t="n"/>
      <c r="M198" s="58" t="n"/>
      <c r="N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71" t="n"/>
      <c r="L199" s="71" t="n"/>
      <c r="M199" s="58" t="n"/>
      <c r="N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71" t="n"/>
      <c r="L200" s="71" t="n"/>
      <c r="M200" s="58" t="n"/>
      <c r="N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71" t="n"/>
      <c r="L201" s="71" t="n"/>
      <c r="M201" s="58" t="n"/>
      <c r="N201" s="57" t="n"/>
    </row>
  </sheetData>
  <dataValidations count="2">
    <dataValidation sqref="N2:N201" showDropDown="0" showInputMessage="0" showErrorMessage="0" allowBlank="1" type="list">
      <formula1>"Yes,No"</formula1>
    </dataValidation>
    <dataValidation sqref="H2:H201" showDropDown="0" showInputMessage="0" showErrorMessage="0" allowBlank="1" type="list">
      <formula1>"Title,Size,Color,Scent,Material"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8" customWidth="1" min="4" max="4"/>
    <col width="14" customWidth="1" min="5" max="5"/>
    <col width="14" customWidth="1" min="6" max="6"/>
    <col width="28" customWidth="1" min="7" max="7"/>
    <col width="10" customWidth="1" min="8" max="8"/>
  </cols>
  <sheetData>
    <row r="1" ht="22" customHeight="1">
      <c r="A1" s="54" t="inlineStr">
        <is>
          <t>Date</t>
        </is>
      </c>
      <c r="B1" s="54" t="inlineStr">
        <is>
          <t>SKU</t>
        </is>
      </c>
      <c r="C1" s="54" t="inlineStr">
        <is>
          <t>Movement Type</t>
        </is>
      </c>
      <c r="D1" s="54" t="inlineStr">
        <is>
          <t>Qty</t>
        </is>
      </c>
      <c r="E1" s="54" t="inlineStr">
        <is>
          <t>Location</t>
        </is>
      </c>
      <c r="F1" s="54" t="inlineStr">
        <is>
          <t>Reference</t>
        </is>
      </c>
      <c r="G1" s="54" t="inlineStr">
        <is>
          <t>Notes</t>
        </is>
      </c>
      <c r="H1" s="54" t="inlineStr">
        <is>
          <t>Signed Qty</t>
        </is>
      </c>
    </row>
    <row r="2">
      <c r="A2" s="72" t="inlineStr">
        <is>
          <t>2026-04-16</t>
        </is>
      </c>
      <c r="B2" s="57" t="inlineStr">
        <is>
          <t>SKU-001</t>
        </is>
      </c>
      <c r="C2" s="57" t="inlineStr">
        <is>
          <t>Received</t>
        </is>
      </c>
      <c r="D2" s="73" t="n">
        <v>24</v>
      </c>
      <c r="E2" s="57" t="inlineStr">
        <is>
          <t>Warehouse</t>
        </is>
      </c>
      <c r="F2" s="57" t="inlineStr">
        <is>
          <t>PO-001</t>
        </is>
      </c>
      <c r="G2" s="57" t="inlineStr">
        <is>
          <t>Initial stock</t>
        </is>
      </c>
      <c r="H2" s="74">
        <f>IF(C2="","",IF(OR(C2="Received",C2="Transfer In",C2="Adjustment In",C2="Return In"),D2,-D2))</f>
        <v/>
      </c>
    </row>
    <row r="3">
      <c r="A3" s="72" t="inlineStr">
        <is>
          <t>2026-04-16</t>
        </is>
      </c>
      <c r="B3" s="57" t="inlineStr">
        <is>
          <t>SKU-002</t>
        </is>
      </c>
      <c r="C3" s="57" t="inlineStr">
        <is>
          <t>Received</t>
        </is>
      </c>
      <c r="D3" s="73" t="n">
        <v>18</v>
      </c>
      <c r="E3" s="57" t="inlineStr">
        <is>
          <t>Warehouse</t>
        </is>
      </c>
      <c r="F3" s="57" t="inlineStr">
        <is>
          <t>PO-001</t>
        </is>
      </c>
      <c r="G3" s="57" t="inlineStr">
        <is>
          <t>Initial stock</t>
        </is>
      </c>
      <c r="H3" s="74">
        <f>IF(C3="","",IF(OR(C3="Received",C3="Transfer In",C3="Adjustment In",C3="Return In"),D3,-D3))</f>
        <v/>
      </c>
    </row>
    <row r="4">
      <c r="A4" s="72" t="inlineStr">
        <is>
          <t>2026-04-16</t>
        </is>
      </c>
      <c r="B4" s="57" t="inlineStr">
        <is>
          <t>SKU-003</t>
        </is>
      </c>
      <c r="C4" s="57" t="inlineStr">
        <is>
          <t>Received</t>
        </is>
      </c>
      <c r="D4" s="73" t="n">
        <v>10</v>
      </c>
      <c r="E4" s="57" t="inlineStr">
        <is>
          <t>Warehouse</t>
        </is>
      </c>
      <c r="F4" s="57" t="inlineStr">
        <is>
          <t>PO-002</t>
        </is>
      </c>
      <c r="G4" s="57" t="inlineStr">
        <is>
          <t>Initial stock</t>
        </is>
      </c>
      <c r="H4" s="74">
        <f>IF(C4="","",IF(OR(C4="Received",C4="Transfer In",C4="Adjustment In",C4="Return In"),D4,-D4))</f>
        <v/>
      </c>
    </row>
    <row r="5">
      <c r="A5" s="72" t="inlineStr">
        <is>
          <t>2026-04-16</t>
        </is>
      </c>
      <c r="B5" s="57" t="inlineStr">
        <is>
          <t>SKU-001</t>
        </is>
      </c>
      <c r="C5" s="57" t="inlineStr">
        <is>
          <t>Transfer In</t>
        </is>
      </c>
      <c r="D5" s="73" t="n">
        <v>6</v>
      </c>
      <c r="E5" s="57" t="inlineStr">
        <is>
          <t>Studio</t>
        </is>
      </c>
      <c r="F5" s="57" t="inlineStr">
        <is>
          <t>MOVE-001</t>
        </is>
      </c>
      <c r="G5" s="57" t="inlineStr">
        <is>
          <t>From warehouse</t>
        </is>
      </c>
      <c r="H5" s="74">
        <f>IF(C5="","",IF(OR(C5="Received",C5="Transfer In",C5="Adjustment In",C5="Return In"),D5,-D5))</f>
        <v/>
      </c>
    </row>
    <row r="6">
      <c r="A6" s="72" t="inlineStr">
        <is>
          <t>2026-04-16</t>
        </is>
      </c>
      <c r="B6" s="57" t="inlineStr">
        <is>
          <t>SKU-001</t>
        </is>
      </c>
      <c r="C6" s="57" t="inlineStr">
        <is>
          <t>Transfer Out</t>
        </is>
      </c>
      <c r="D6" s="73" t="n">
        <v>6</v>
      </c>
      <c r="E6" s="57" t="inlineStr">
        <is>
          <t>Warehouse</t>
        </is>
      </c>
      <c r="F6" s="57" t="inlineStr">
        <is>
          <t>MOVE-001</t>
        </is>
      </c>
      <c r="G6" s="57" t="inlineStr">
        <is>
          <t>To studio</t>
        </is>
      </c>
      <c r="H6" s="74">
        <f>IF(C6="","",IF(OR(C6="Received",C6="Transfer In",C6="Adjustment In",C6="Return In"),D6,-D6))</f>
        <v/>
      </c>
    </row>
    <row r="7">
      <c r="A7" s="72" t="n"/>
      <c r="B7" s="57" t="n"/>
      <c r="C7" s="57" t="n"/>
      <c r="D7" s="73" t="n"/>
      <c r="E7" s="57" t="n"/>
      <c r="F7" s="57" t="n"/>
      <c r="G7" s="57" t="n"/>
      <c r="H7" s="74">
        <f>IF(C7="","",IF(OR(C7="Received",C7="Transfer In",C7="Adjustment In",C7="Return In"),D7,-D7))</f>
        <v/>
      </c>
    </row>
    <row r="8">
      <c r="A8" s="72" t="n"/>
      <c r="B8" s="57" t="n"/>
      <c r="C8" s="57" t="n"/>
      <c r="D8" s="73" t="n"/>
      <c r="E8" s="57" t="n"/>
      <c r="F8" s="57" t="n"/>
      <c r="G8" s="57" t="n"/>
      <c r="H8" s="74">
        <f>IF(C8="","",IF(OR(C8="Received",C8="Transfer In",C8="Adjustment In",C8="Return In"),D8,-D8))</f>
        <v/>
      </c>
    </row>
    <row r="9">
      <c r="A9" s="72" t="n"/>
      <c r="B9" s="57" t="n"/>
      <c r="C9" s="57" t="n"/>
      <c r="D9" s="73" t="n"/>
      <c r="E9" s="57" t="n"/>
      <c r="F9" s="57" t="n"/>
      <c r="G9" s="57" t="n"/>
      <c r="H9" s="74">
        <f>IF(C9="","",IF(OR(C9="Received",C9="Transfer In",C9="Adjustment In",C9="Return In"),D9,-D9))</f>
        <v/>
      </c>
    </row>
    <row r="10">
      <c r="A10" s="72" t="n"/>
      <c r="B10" s="57" t="n"/>
      <c r="C10" s="57" t="n"/>
      <c r="D10" s="73" t="n"/>
      <c r="E10" s="57" t="n"/>
      <c r="F10" s="57" t="n"/>
      <c r="G10" s="57" t="n"/>
      <c r="H10" s="74">
        <f>IF(C10="","",IF(OR(C10="Received",C10="Transfer In",C10="Adjustment In",C10="Return In"),D10,-D10))</f>
        <v/>
      </c>
    </row>
    <row r="11">
      <c r="A11" s="72" t="n"/>
      <c r="B11" s="57" t="n"/>
      <c r="C11" s="57" t="n"/>
      <c r="D11" s="73" t="n"/>
      <c r="E11" s="57" t="n"/>
      <c r="F11" s="57" t="n"/>
      <c r="G11" s="57" t="n"/>
      <c r="H11" s="74">
        <f>IF(C11="","",IF(OR(C11="Received",C11="Transfer In",C11="Adjustment In",C11="Return In"),D11,-D11))</f>
        <v/>
      </c>
    </row>
    <row r="12">
      <c r="A12" s="72" t="n"/>
      <c r="B12" s="57" t="n"/>
      <c r="C12" s="57" t="n"/>
      <c r="D12" s="73" t="n"/>
      <c r="E12" s="57" t="n"/>
      <c r="F12" s="57" t="n"/>
      <c r="G12" s="57" t="n"/>
      <c r="H12" s="74">
        <f>IF(C12="","",IF(OR(C12="Received",C12="Transfer In",C12="Adjustment In",C12="Return In"),D12,-D12))</f>
        <v/>
      </c>
    </row>
    <row r="13">
      <c r="A13" s="72" t="n"/>
      <c r="B13" s="57" t="n"/>
      <c r="C13" s="57" t="n"/>
      <c r="D13" s="73" t="n"/>
      <c r="E13" s="57" t="n"/>
      <c r="F13" s="57" t="n"/>
      <c r="G13" s="57" t="n"/>
      <c r="H13" s="74">
        <f>IF(C13="","",IF(OR(C13="Received",C13="Transfer In",C13="Adjustment In",C13="Return In"),D13,-D13))</f>
        <v/>
      </c>
    </row>
    <row r="14">
      <c r="A14" s="72" t="n"/>
      <c r="B14" s="57" t="n"/>
      <c r="C14" s="57" t="n"/>
      <c r="D14" s="73" t="n"/>
      <c r="E14" s="57" t="n"/>
      <c r="F14" s="57" t="n"/>
      <c r="G14" s="57" t="n"/>
      <c r="H14" s="74">
        <f>IF(C14="","",IF(OR(C14="Received",C14="Transfer In",C14="Adjustment In",C14="Return In"),D14,-D14))</f>
        <v/>
      </c>
    </row>
    <row r="15">
      <c r="A15" s="72" t="n"/>
      <c r="B15" s="57" t="n"/>
      <c r="C15" s="57" t="n"/>
      <c r="D15" s="73" t="n"/>
      <c r="E15" s="57" t="n"/>
      <c r="F15" s="57" t="n"/>
      <c r="G15" s="57" t="n"/>
      <c r="H15" s="74">
        <f>IF(C15="","",IF(OR(C15="Received",C15="Transfer In",C15="Adjustment In",C15="Return In"),D15,-D15))</f>
        <v/>
      </c>
    </row>
    <row r="16">
      <c r="A16" s="72" t="n"/>
      <c r="B16" s="57" t="n"/>
      <c r="C16" s="57" t="n"/>
      <c r="D16" s="73" t="n"/>
      <c r="E16" s="57" t="n"/>
      <c r="F16" s="57" t="n"/>
      <c r="G16" s="57" t="n"/>
      <c r="H16" s="74">
        <f>IF(C16="","",IF(OR(C16="Received",C16="Transfer In",C16="Adjustment In",C16="Return In"),D16,-D16))</f>
        <v/>
      </c>
    </row>
    <row r="17">
      <c r="A17" s="72" t="n"/>
      <c r="B17" s="57" t="n"/>
      <c r="C17" s="57" t="n"/>
      <c r="D17" s="73" t="n"/>
      <c r="E17" s="57" t="n"/>
      <c r="F17" s="57" t="n"/>
      <c r="G17" s="57" t="n"/>
      <c r="H17" s="74">
        <f>IF(C17="","",IF(OR(C17="Received",C17="Transfer In",C17="Adjustment In",C17="Return In"),D17,-D17))</f>
        <v/>
      </c>
    </row>
    <row r="18">
      <c r="A18" s="72" t="n"/>
      <c r="B18" s="57" t="n"/>
      <c r="C18" s="57" t="n"/>
      <c r="D18" s="73" t="n"/>
      <c r="E18" s="57" t="n"/>
      <c r="F18" s="57" t="n"/>
      <c r="G18" s="57" t="n"/>
      <c r="H18" s="74">
        <f>IF(C18="","",IF(OR(C18="Received",C18="Transfer In",C18="Adjustment In",C18="Return In"),D18,-D18))</f>
        <v/>
      </c>
    </row>
    <row r="19">
      <c r="A19" s="72" t="n"/>
      <c r="B19" s="57" t="n"/>
      <c r="C19" s="57" t="n"/>
      <c r="D19" s="73" t="n"/>
      <c r="E19" s="57" t="n"/>
      <c r="F19" s="57" t="n"/>
      <c r="G19" s="57" t="n"/>
      <c r="H19" s="74">
        <f>IF(C19="","",IF(OR(C19="Received",C19="Transfer In",C19="Adjustment In",C19="Return In"),D19,-D19))</f>
        <v/>
      </c>
    </row>
    <row r="20">
      <c r="A20" s="72" t="n"/>
      <c r="B20" s="57" t="n"/>
      <c r="C20" s="57" t="n"/>
      <c r="D20" s="73" t="n"/>
      <c r="E20" s="57" t="n"/>
      <c r="F20" s="57" t="n"/>
      <c r="G20" s="57" t="n"/>
      <c r="H20" s="74">
        <f>IF(C20="","",IF(OR(C20="Received",C20="Transfer In",C20="Adjustment In",C20="Return In"),D20,-D20))</f>
        <v/>
      </c>
    </row>
    <row r="21">
      <c r="A21" s="72" t="n"/>
      <c r="B21" s="57" t="n"/>
      <c r="C21" s="57" t="n"/>
      <c r="D21" s="73" t="n"/>
      <c r="E21" s="57" t="n"/>
      <c r="F21" s="57" t="n"/>
      <c r="G21" s="57" t="n"/>
      <c r="H21" s="74">
        <f>IF(C21="","",IF(OR(C21="Received",C21="Transfer In",C21="Adjustment In",C21="Return In"),D21,-D21))</f>
        <v/>
      </c>
    </row>
    <row r="22">
      <c r="A22" s="72" t="n"/>
      <c r="B22" s="57" t="n"/>
      <c r="C22" s="57" t="n"/>
      <c r="D22" s="73" t="n"/>
      <c r="E22" s="57" t="n"/>
      <c r="F22" s="57" t="n"/>
      <c r="G22" s="57" t="n"/>
      <c r="H22" s="74">
        <f>IF(C22="","",IF(OR(C22="Received",C22="Transfer In",C22="Adjustment In",C22="Return In"),D22,-D22))</f>
        <v/>
      </c>
    </row>
    <row r="23">
      <c r="A23" s="72" t="n"/>
      <c r="B23" s="57" t="n"/>
      <c r="C23" s="57" t="n"/>
      <c r="D23" s="73" t="n"/>
      <c r="E23" s="57" t="n"/>
      <c r="F23" s="57" t="n"/>
      <c r="G23" s="57" t="n"/>
      <c r="H23" s="74">
        <f>IF(C23="","",IF(OR(C23="Received",C23="Transfer In",C23="Adjustment In",C23="Return In"),D23,-D23))</f>
        <v/>
      </c>
    </row>
    <row r="24">
      <c r="A24" s="72" t="n"/>
      <c r="B24" s="57" t="n"/>
      <c r="C24" s="57" t="n"/>
      <c r="D24" s="73" t="n"/>
      <c r="E24" s="57" t="n"/>
      <c r="F24" s="57" t="n"/>
      <c r="G24" s="57" t="n"/>
      <c r="H24" s="74">
        <f>IF(C24="","",IF(OR(C24="Received",C24="Transfer In",C24="Adjustment In",C24="Return In"),D24,-D24))</f>
        <v/>
      </c>
    </row>
    <row r="25">
      <c r="A25" s="72" t="n"/>
      <c r="B25" s="57" t="n"/>
      <c r="C25" s="57" t="n"/>
      <c r="D25" s="73" t="n"/>
      <c r="E25" s="57" t="n"/>
      <c r="F25" s="57" t="n"/>
      <c r="G25" s="57" t="n"/>
      <c r="H25" s="74">
        <f>IF(C25="","",IF(OR(C25="Received",C25="Transfer In",C25="Adjustment In",C25="Return In"),D25,-D25))</f>
        <v/>
      </c>
    </row>
    <row r="26">
      <c r="A26" s="72" t="n"/>
      <c r="B26" s="57" t="n"/>
      <c r="C26" s="57" t="n"/>
      <c r="D26" s="73" t="n"/>
      <c r="E26" s="57" t="n"/>
      <c r="F26" s="57" t="n"/>
      <c r="G26" s="57" t="n"/>
      <c r="H26" s="74">
        <f>IF(C26="","",IF(OR(C26="Received",C26="Transfer In",C26="Adjustment In",C26="Return In"),D26,-D26))</f>
        <v/>
      </c>
    </row>
    <row r="27">
      <c r="A27" s="72" t="n"/>
      <c r="B27" s="57" t="n"/>
      <c r="C27" s="57" t="n"/>
      <c r="D27" s="73" t="n"/>
      <c r="E27" s="57" t="n"/>
      <c r="F27" s="57" t="n"/>
      <c r="G27" s="57" t="n"/>
      <c r="H27" s="74">
        <f>IF(C27="","",IF(OR(C27="Received",C27="Transfer In",C27="Adjustment In",C27="Return In"),D27,-D27))</f>
        <v/>
      </c>
    </row>
    <row r="28">
      <c r="A28" s="72" t="n"/>
      <c r="B28" s="57" t="n"/>
      <c r="C28" s="57" t="n"/>
      <c r="D28" s="73" t="n"/>
      <c r="E28" s="57" t="n"/>
      <c r="F28" s="57" t="n"/>
      <c r="G28" s="57" t="n"/>
      <c r="H28" s="74">
        <f>IF(C28="","",IF(OR(C28="Received",C28="Transfer In",C28="Adjustment In",C28="Return In"),D28,-D28))</f>
        <v/>
      </c>
    </row>
    <row r="29">
      <c r="A29" s="72" t="n"/>
      <c r="B29" s="57" t="n"/>
      <c r="C29" s="57" t="n"/>
      <c r="D29" s="73" t="n"/>
      <c r="E29" s="57" t="n"/>
      <c r="F29" s="57" t="n"/>
      <c r="G29" s="57" t="n"/>
      <c r="H29" s="74">
        <f>IF(C29="","",IF(OR(C29="Received",C29="Transfer In",C29="Adjustment In",C29="Return In"),D29,-D29))</f>
        <v/>
      </c>
    </row>
    <row r="30">
      <c r="A30" s="72" t="n"/>
      <c r="B30" s="57" t="n"/>
      <c r="C30" s="57" t="n"/>
      <c r="D30" s="73" t="n"/>
      <c r="E30" s="57" t="n"/>
      <c r="F30" s="57" t="n"/>
      <c r="G30" s="57" t="n"/>
      <c r="H30" s="74">
        <f>IF(C30="","",IF(OR(C30="Received",C30="Transfer In",C30="Adjustment In",C30="Return In"),D30,-D30))</f>
        <v/>
      </c>
    </row>
    <row r="31">
      <c r="A31" s="72" t="n"/>
      <c r="B31" s="57" t="n"/>
      <c r="C31" s="57" t="n"/>
      <c r="D31" s="73" t="n"/>
      <c r="E31" s="57" t="n"/>
      <c r="F31" s="57" t="n"/>
      <c r="G31" s="57" t="n"/>
      <c r="H31" s="74">
        <f>IF(C31="","",IF(OR(C31="Received",C31="Transfer In",C31="Adjustment In",C31="Return In"),D31,-D31))</f>
        <v/>
      </c>
    </row>
    <row r="32">
      <c r="A32" s="72" t="n"/>
      <c r="B32" s="57" t="n"/>
      <c r="C32" s="57" t="n"/>
      <c r="D32" s="73" t="n"/>
      <c r="E32" s="57" t="n"/>
      <c r="F32" s="57" t="n"/>
      <c r="G32" s="57" t="n"/>
      <c r="H32" s="74">
        <f>IF(C32="","",IF(OR(C32="Received",C32="Transfer In",C32="Adjustment In",C32="Return In"),D32,-D32))</f>
        <v/>
      </c>
    </row>
    <row r="33">
      <c r="A33" s="72" t="n"/>
      <c r="B33" s="57" t="n"/>
      <c r="C33" s="57" t="n"/>
      <c r="D33" s="73" t="n"/>
      <c r="E33" s="57" t="n"/>
      <c r="F33" s="57" t="n"/>
      <c r="G33" s="57" t="n"/>
      <c r="H33" s="74">
        <f>IF(C33="","",IF(OR(C33="Received",C33="Transfer In",C33="Adjustment In",C33="Return In"),D33,-D33))</f>
        <v/>
      </c>
    </row>
    <row r="34">
      <c r="A34" s="72" t="n"/>
      <c r="B34" s="57" t="n"/>
      <c r="C34" s="57" t="n"/>
      <c r="D34" s="73" t="n"/>
      <c r="E34" s="57" t="n"/>
      <c r="F34" s="57" t="n"/>
      <c r="G34" s="57" t="n"/>
      <c r="H34" s="74">
        <f>IF(C34="","",IF(OR(C34="Received",C34="Transfer In",C34="Adjustment In",C34="Return In"),D34,-D34))</f>
        <v/>
      </c>
    </row>
    <row r="35">
      <c r="A35" s="72" t="n"/>
      <c r="B35" s="57" t="n"/>
      <c r="C35" s="57" t="n"/>
      <c r="D35" s="73" t="n"/>
      <c r="E35" s="57" t="n"/>
      <c r="F35" s="57" t="n"/>
      <c r="G35" s="57" t="n"/>
      <c r="H35" s="74">
        <f>IF(C35="","",IF(OR(C35="Received",C35="Transfer In",C35="Adjustment In",C35="Return In"),D35,-D35))</f>
        <v/>
      </c>
    </row>
    <row r="36">
      <c r="A36" s="72" t="n"/>
      <c r="B36" s="57" t="n"/>
      <c r="C36" s="57" t="n"/>
      <c r="D36" s="73" t="n"/>
      <c r="E36" s="57" t="n"/>
      <c r="F36" s="57" t="n"/>
      <c r="G36" s="57" t="n"/>
      <c r="H36" s="74">
        <f>IF(C36="","",IF(OR(C36="Received",C36="Transfer In",C36="Adjustment In",C36="Return In"),D36,-D36))</f>
        <v/>
      </c>
    </row>
    <row r="37">
      <c r="A37" s="72" t="n"/>
      <c r="B37" s="57" t="n"/>
      <c r="C37" s="57" t="n"/>
      <c r="D37" s="73" t="n"/>
      <c r="E37" s="57" t="n"/>
      <c r="F37" s="57" t="n"/>
      <c r="G37" s="57" t="n"/>
      <c r="H37" s="74">
        <f>IF(C37="","",IF(OR(C37="Received",C37="Transfer In",C37="Adjustment In",C37="Return In"),D37,-D37))</f>
        <v/>
      </c>
    </row>
    <row r="38">
      <c r="A38" s="72" t="n"/>
      <c r="B38" s="57" t="n"/>
      <c r="C38" s="57" t="n"/>
      <c r="D38" s="73" t="n"/>
      <c r="E38" s="57" t="n"/>
      <c r="F38" s="57" t="n"/>
      <c r="G38" s="57" t="n"/>
      <c r="H38" s="74">
        <f>IF(C38="","",IF(OR(C38="Received",C38="Transfer In",C38="Adjustment In",C38="Return In"),D38,-D38))</f>
        <v/>
      </c>
    </row>
    <row r="39">
      <c r="A39" s="72" t="n"/>
      <c r="B39" s="57" t="n"/>
      <c r="C39" s="57" t="n"/>
      <c r="D39" s="73" t="n"/>
      <c r="E39" s="57" t="n"/>
      <c r="F39" s="57" t="n"/>
      <c r="G39" s="57" t="n"/>
      <c r="H39" s="74">
        <f>IF(C39="","",IF(OR(C39="Received",C39="Transfer In",C39="Adjustment In",C39="Return In"),D39,-D39))</f>
        <v/>
      </c>
    </row>
    <row r="40">
      <c r="A40" s="72" t="n"/>
      <c r="B40" s="57" t="n"/>
      <c r="C40" s="57" t="n"/>
      <c r="D40" s="73" t="n"/>
      <c r="E40" s="57" t="n"/>
      <c r="F40" s="57" t="n"/>
      <c r="G40" s="57" t="n"/>
      <c r="H40" s="74">
        <f>IF(C40="","",IF(OR(C40="Received",C40="Transfer In",C40="Adjustment In",C40="Return In"),D40,-D40))</f>
        <v/>
      </c>
    </row>
    <row r="41">
      <c r="A41" s="72" t="n"/>
      <c r="B41" s="57" t="n"/>
      <c r="C41" s="57" t="n"/>
      <c r="D41" s="73" t="n"/>
      <c r="E41" s="57" t="n"/>
      <c r="F41" s="57" t="n"/>
      <c r="G41" s="57" t="n"/>
      <c r="H41" s="74">
        <f>IF(C41="","",IF(OR(C41="Received",C41="Transfer In",C41="Adjustment In",C41="Return In"),D41,-D41))</f>
        <v/>
      </c>
    </row>
    <row r="42">
      <c r="A42" s="72" t="n"/>
      <c r="B42" s="57" t="n"/>
      <c r="C42" s="57" t="n"/>
      <c r="D42" s="73" t="n"/>
      <c r="E42" s="57" t="n"/>
      <c r="F42" s="57" t="n"/>
      <c r="G42" s="57" t="n"/>
      <c r="H42" s="74">
        <f>IF(C42="","",IF(OR(C42="Received",C42="Transfer In",C42="Adjustment In",C42="Return In"),D42,-D42))</f>
        <v/>
      </c>
    </row>
    <row r="43">
      <c r="A43" s="72" t="n"/>
      <c r="B43" s="57" t="n"/>
      <c r="C43" s="57" t="n"/>
      <c r="D43" s="73" t="n"/>
      <c r="E43" s="57" t="n"/>
      <c r="F43" s="57" t="n"/>
      <c r="G43" s="57" t="n"/>
      <c r="H43" s="74">
        <f>IF(C43="","",IF(OR(C43="Received",C43="Transfer In",C43="Adjustment In",C43="Return In"),D43,-D43))</f>
        <v/>
      </c>
    </row>
    <row r="44">
      <c r="A44" s="72" t="n"/>
      <c r="B44" s="57" t="n"/>
      <c r="C44" s="57" t="n"/>
      <c r="D44" s="73" t="n"/>
      <c r="E44" s="57" t="n"/>
      <c r="F44" s="57" t="n"/>
      <c r="G44" s="57" t="n"/>
      <c r="H44" s="74">
        <f>IF(C44="","",IF(OR(C44="Received",C44="Transfer In",C44="Adjustment In",C44="Return In"),D44,-D44))</f>
        <v/>
      </c>
    </row>
    <row r="45">
      <c r="A45" s="72" t="n"/>
      <c r="B45" s="57" t="n"/>
      <c r="C45" s="57" t="n"/>
      <c r="D45" s="73" t="n"/>
      <c r="E45" s="57" t="n"/>
      <c r="F45" s="57" t="n"/>
      <c r="G45" s="57" t="n"/>
      <c r="H45" s="74">
        <f>IF(C45="","",IF(OR(C45="Received",C45="Transfer In",C45="Adjustment In",C45="Return In"),D45,-D45))</f>
        <v/>
      </c>
    </row>
    <row r="46">
      <c r="A46" s="72" t="n"/>
      <c r="B46" s="57" t="n"/>
      <c r="C46" s="57" t="n"/>
      <c r="D46" s="73" t="n"/>
      <c r="E46" s="57" t="n"/>
      <c r="F46" s="57" t="n"/>
      <c r="G46" s="57" t="n"/>
      <c r="H46" s="74">
        <f>IF(C46="","",IF(OR(C46="Received",C46="Transfer In",C46="Adjustment In",C46="Return In"),D46,-D46))</f>
        <v/>
      </c>
    </row>
    <row r="47">
      <c r="A47" s="72" t="n"/>
      <c r="B47" s="57" t="n"/>
      <c r="C47" s="57" t="n"/>
      <c r="D47" s="73" t="n"/>
      <c r="E47" s="57" t="n"/>
      <c r="F47" s="57" t="n"/>
      <c r="G47" s="57" t="n"/>
      <c r="H47" s="74">
        <f>IF(C47="","",IF(OR(C47="Received",C47="Transfer In",C47="Adjustment In",C47="Return In"),D47,-D47))</f>
        <v/>
      </c>
    </row>
    <row r="48">
      <c r="A48" s="72" t="n"/>
      <c r="B48" s="57" t="n"/>
      <c r="C48" s="57" t="n"/>
      <c r="D48" s="73" t="n"/>
      <c r="E48" s="57" t="n"/>
      <c r="F48" s="57" t="n"/>
      <c r="G48" s="57" t="n"/>
      <c r="H48" s="74">
        <f>IF(C48="","",IF(OR(C48="Received",C48="Transfer In",C48="Adjustment In",C48="Return In"),D48,-D48))</f>
        <v/>
      </c>
    </row>
    <row r="49">
      <c r="A49" s="72" t="n"/>
      <c r="B49" s="57" t="n"/>
      <c r="C49" s="57" t="n"/>
      <c r="D49" s="73" t="n"/>
      <c r="E49" s="57" t="n"/>
      <c r="F49" s="57" t="n"/>
      <c r="G49" s="57" t="n"/>
      <c r="H49" s="74">
        <f>IF(C49="","",IF(OR(C49="Received",C49="Transfer In",C49="Adjustment In",C49="Return In"),D49,-D49))</f>
        <v/>
      </c>
    </row>
    <row r="50">
      <c r="A50" s="72" t="n"/>
      <c r="B50" s="57" t="n"/>
      <c r="C50" s="57" t="n"/>
      <c r="D50" s="73" t="n"/>
      <c r="E50" s="57" t="n"/>
      <c r="F50" s="57" t="n"/>
      <c r="G50" s="57" t="n"/>
      <c r="H50" s="74">
        <f>IF(C50="","",IF(OR(C50="Received",C50="Transfer In",C50="Adjustment In",C50="Return In"),D50,-D50))</f>
        <v/>
      </c>
    </row>
    <row r="51">
      <c r="A51" s="72" t="n"/>
      <c r="B51" s="57" t="n"/>
      <c r="C51" s="57" t="n"/>
      <c r="D51" s="73" t="n"/>
      <c r="E51" s="57" t="n"/>
      <c r="F51" s="57" t="n"/>
      <c r="G51" s="57" t="n"/>
      <c r="H51" s="74">
        <f>IF(C51="","",IF(OR(C51="Received",C51="Transfer In",C51="Adjustment In",C51="Return In"),D51,-D51))</f>
        <v/>
      </c>
    </row>
    <row r="52">
      <c r="A52" s="72" t="n"/>
      <c r="B52" s="57" t="n"/>
      <c r="C52" s="57" t="n"/>
      <c r="D52" s="73" t="n"/>
      <c r="E52" s="57" t="n"/>
      <c r="F52" s="57" t="n"/>
      <c r="G52" s="57" t="n"/>
      <c r="H52" s="74">
        <f>IF(C52="","",IF(OR(C52="Received",C52="Transfer In",C52="Adjustment In",C52="Return In"),D52,-D52))</f>
        <v/>
      </c>
    </row>
    <row r="53">
      <c r="A53" s="72" t="n"/>
      <c r="B53" s="57" t="n"/>
      <c r="C53" s="57" t="n"/>
      <c r="D53" s="73" t="n"/>
      <c r="E53" s="57" t="n"/>
      <c r="F53" s="57" t="n"/>
      <c r="G53" s="57" t="n"/>
      <c r="H53" s="74">
        <f>IF(C53="","",IF(OR(C53="Received",C53="Transfer In",C53="Adjustment In",C53="Return In"),D53,-D53))</f>
        <v/>
      </c>
    </row>
    <row r="54">
      <c r="A54" s="72" t="n"/>
      <c r="B54" s="57" t="n"/>
      <c r="C54" s="57" t="n"/>
      <c r="D54" s="73" t="n"/>
      <c r="E54" s="57" t="n"/>
      <c r="F54" s="57" t="n"/>
      <c r="G54" s="57" t="n"/>
      <c r="H54" s="74">
        <f>IF(C54="","",IF(OR(C54="Received",C54="Transfer In",C54="Adjustment In",C54="Return In"),D54,-D54))</f>
        <v/>
      </c>
    </row>
    <row r="55">
      <c r="A55" s="72" t="n"/>
      <c r="B55" s="57" t="n"/>
      <c r="C55" s="57" t="n"/>
      <c r="D55" s="73" t="n"/>
      <c r="E55" s="57" t="n"/>
      <c r="F55" s="57" t="n"/>
      <c r="G55" s="57" t="n"/>
      <c r="H55" s="74">
        <f>IF(C55="","",IF(OR(C55="Received",C55="Transfer In",C55="Adjustment In",C55="Return In"),D55,-D55))</f>
        <v/>
      </c>
    </row>
    <row r="56">
      <c r="A56" s="72" t="n"/>
      <c r="B56" s="57" t="n"/>
      <c r="C56" s="57" t="n"/>
      <c r="D56" s="73" t="n"/>
      <c r="E56" s="57" t="n"/>
      <c r="F56" s="57" t="n"/>
      <c r="G56" s="57" t="n"/>
      <c r="H56" s="74">
        <f>IF(C56="","",IF(OR(C56="Received",C56="Transfer In",C56="Adjustment In",C56="Return In"),D56,-D56))</f>
        <v/>
      </c>
    </row>
    <row r="57">
      <c r="A57" s="72" t="n"/>
      <c r="B57" s="57" t="n"/>
      <c r="C57" s="57" t="n"/>
      <c r="D57" s="73" t="n"/>
      <c r="E57" s="57" t="n"/>
      <c r="F57" s="57" t="n"/>
      <c r="G57" s="57" t="n"/>
      <c r="H57" s="74">
        <f>IF(C57="","",IF(OR(C57="Received",C57="Transfer In",C57="Adjustment In",C57="Return In"),D57,-D57))</f>
        <v/>
      </c>
    </row>
    <row r="58">
      <c r="A58" s="72" t="n"/>
      <c r="B58" s="57" t="n"/>
      <c r="C58" s="57" t="n"/>
      <c r="D58" s="73" t="n"/>
      <c r="E58" s="57" t="n"/>
      <c r="F58" s="57" t="n"/>
      <c r="G58" s="57" t="n"/>
      <c r="H58" s="74">
        <f>IF(C58="","",IF(OR(C58="Received",C58="Transfer In",C58="Adjustment In",C58="Return In"),D58,-D58))</f>
        <v/>
      </c>
    </row>
    <row r="59">
      <c r="A59" s="72" t="n"/>
      <c r="B59" s="57" t="n"/>
      <c r="C59" s="57" t="n"/>
      <c r="D59" s="73" t="n"/>
      <c r="E59" s="57" t="n"/>
      <c r="F59" s="57" t="n"/>
      <c r="G59" s="57" t="n"/>
      <c r="H59" s="74">
        <f>IF(C59="","",IF(OR(C59="Received",C59="Transfer In",C59="Adjustment In",C59="Return In"),D59,-D59))</f>
        <v/>
      </c>
    </row>
    <row r="60">
      <c r="A60" s="72" t="n"/>
      <c r="B60" s="57" t="n"/>
      <c r="C60" s="57" t="n"/>
      <c r="D60" s="73" t="n"/>
      <c r="E60" s="57" t="n"/>
      <c r="F60" s="57" t="n"/>
      <c r="G60" s="57" t="n"/>
      <c r="H60" s="74">
        <f>IF(C60="","",IF(OR(C60="Received",C60="Transfer In",C60="Adjustment In",C60="Return In"),D60,-D60))</f>
        <v/>
      </c>
    </row>
    <row r="61">
      <c r="A61" s="72" t="n"/>
      <c r="B61" s="57" t="n"/>
      <c r="C61" s="57" t="n"/>
      <c r="D61" s="73" t="n"/>
      <c r="E61" s="57" t="n"/>
      <c r="F61" s="57" t="n"/>
      <c r="G61" s="57" t="n"/>
      <c r="H61" s="74">
        <f>IF(C61="","",IF(OR(C61="Received",C61="Transfer In",C61="Adjustment In",C61="Return In"),D61,-D61))</f>
        <v/>
      </c>
    </row>
    <row r="62">
      <c r="A62" s="72" t="n"/>
      <c r="B62" s="57" t="n"/>
      <c r="C62" s="57" t="n"/>
      <c r="D62" s="73" t="n"/>
      <c r="E62" s="57" t="n"/>
      <c r="F62" s="57" t="n"/>
      <c r="G62" s="57" t="n"/>
      <c r="H62" s="74">
        <f>IF(C62="","",IF(OR(C62="Received",C62="Transfer In",C62="Adjustment In",C62="Return In"),D62,-D62))</f>
        <v/>
      </c>
    </row>
    <row r="63">
      <c r="A63" s="72" t="n"/>
      <c r="B63" s="57" t="n"/>
      <c r="C63" s="57" t="n"/>
      <c r="D63" s="73" t="n"/>
      <c r="E63" s="57" t="n"/>
      <c r="F63" s="57" t="n"/>
      <c r="G63" s="57" t="n"/>
      <c r="H63" s="74">
        <f>IF(C63="","",IF(OR(C63="Received",C63="Transfer In",C63="Adjustment In",C63="Return In"),D63,-D63))</f>
        <v/>
      </c>
    </row>
    <row r="64">
      <c r="A64" s="72" t="n"/>
      <c r="B64" s="57" t="n"/>
      <c r="C64" s="57" t="n"/>
      <c r="D64" s="73" t="n"/>
      <c r="E64" s="57" t="n"/>
      <c r="F64" s="57" t="n"/>
      <c r="G64" s="57" t="n"/>
      <c r="H64" s="74">
        <f>IF(C64="","",IF(OR(C64="Received",C64="Transfer In",C64="Adjustment In",C64="Return In"),D64,-D64))</f>
        <v/>
      </c>
    </row>
    <row r="65">
      <c r="A65" s="72" t="n"/>
      <c r="B65" s="57" t="n"/>
      <c r="C65" s="57" t="n"/>
      <c r="D65" s="73" t="n"/>
      <c r="E65" s="57" t="n"/>
      <c r="F65" s="57" t="n"/>
      <c r="G65" s="57" t="n"/>
      <c r="H65" s="74">
        <f>IF(C65="","",IF(OR(C65="Received",C65="Transfer In",C65="Adjustment In",C65="Return In"),D65,-D65))</f>
        <v/>
      </c>
    </row>
    <row r="66">
      <c r="A66" s="72" t="n"/>
      <c r="B66" s="57" t="n"/>
      <c r="C66" s="57" t="n"/>
      <c r="D66" s="73" t="n"/>
      <c r="E66" s="57" t="n"/>
      <c r="F66" s="57" t="n"/>
      <c r="G66" s="57" t="n"/>
      <c r="H66" s="74">
        <f>IF(C66="","",IF(OR(C66="Received",C66="Transfer In",C66="Adjustment In",C66="Return In"),D66,-D66))</f>
        <v/>
      </c>
    </row>
    <row r="67">
      <c r="A67" s="72" t="n"/>
      <c r="B67" s="57" t="n"/>
      <c r="C67" s="57" t="n"/>
      <c r="D67" s="73" t="n"/>
      <c r="E67" s="57" t="n"/>
      <c r="F67" s="57" t="n"/>
      <c r="G67" s="57" t="n"/>
      <c r="H67" s="74">
        <f>IF(C67="","",IF(OR(C67="Received",C67="Transfer In",C67="Adjustment In",C67="Return In"),D67,-D67))</f>
        <v/>
      </c>
    </row>
    <row r="68">
      <c r="A68" s="72" t="n"/>
      <c r="B68" s="57" t="n"/>
      <c r="C68" s="57" t="n"/>
      <c r="D68" s="73" t="n"/>
      <c r="E68" s="57" t="n"/>
      <c r="F68" s="57" t="n"/>
      <c r="G68" s="57" t="n"/>
      <c r="H68" s="74">
        <f>IF(C68="","",IF(OR(C68="Received",C68="Transfer In",C68="Adjustment In",C68="Return In"),D68,-D68))</f>
        <v/>
      </c>
    </row>
    <row r="69">
      <c r="A69" s="72" t="n"/>
      <c r="B69" s="57" t="n"/>
      <c r="C69" s="57" t="n"/>
      <c r="D69" s="73" t="n"/>
      <c r="E69" s="57" t="n"/>
      <c r="F69" s="57" t="n"/>
      <c r="G69" s="57" t="n"/>
      <c r="H69" s="74">
        <f>IF(C69="","",IF(OR(C69="Received",C69="Transfer In",C69="Adjustment In",C69="Return In"),D69,-D69))</f>
        <v/>
      </c>
    </row>
    <row r="70">
      <c r="A70" s="72" t="n"/>
      <c r="B70" s="57" t="n"/>
      <c r="C70" s="57" t="n"/>
      <c r="D70" s="73" t="n"/>
      <c r="E70" s="57" t="n"/>
      <c r="F70" s="57" t="n"/>
      <c r="G70" s="57" t="n"/>
      <c r="H70" s="74">
        <f>IF(C70="","",IF(OR(C70="Received",C70="Transfer In",C70="Adjustment In",C70="Return In"),D70,-D70))</f>
        <v/>
      </c>
    </row>
    <row r="71">
      <c r="A71" s="72" t="n"/>
      <c r="B71" s="57" t="n"/>
      <c r="C71" s="57" t="n"/>
      <c r="D71" s="73" t="n"/>
      <c r="E71" s="57" t="n"/>
      <c r="F71" s="57" t="n"/>
      <c r="G71" s="57" t="n"/>
      <c r="H71" s="74">
        <f>IF(C71="","",IF(OR(C71="Received",C71="Transfer In",C71="Adjustment In",C71="Return In"),D71,-D71))</f>
        <v/>
      </c>
    </row>
    <row r="72">
      <c r="A72" s="72" t="n"/>
      <c r="B72" s="57" t="n"/>
      <c r="C72" s="57" t="n"/>
      <c r="D72" s="73" t="n"/>
      <c r="E72" s="57" t="n"/>
      <c r="F72" s="57" t="n"/>
      <c r="G72" s="57" t="n"/>
      <c r="H72" s="74">
        <f>IF(C72="","",IF(OR(C72="Received",C72="Transfer In",C72="Adjustment In",C72="Return In"),D72,-D72))</f>
        <v/>
      </c>
    </row>
    <row r="73">
      <c r="A73" s="72" t="n"/>
      <c r="B73" s="57" t="n"/>
      <c r="C73" s="57" t="n"/>
      <c r="D73" s="73" t="n"/>
      <c r="E73" s="57" t="n"/>
      <c r="F73" s="57" t="n"/>
      <c r="G73" s="57" t="n"/>
      <c r="H73" s="74">
        <f>IF(C73="","",IF(OR(C73="Received",C73="Transfer In",C73="Adjustment In",C73="Return In"),D73,-D73))</f>
        <v/>
      </c>
    </row>
    <row r="74">
      <c r="A74" s="72" t="n"/>
      <c r="B74" s="57" t="n"/>
      <c r="C74" s="57" t="n"/>
      <c r="D74" s="73" t="n"/>
      <c r="E74" s="57" t="n"/>
      <c r="F74" s="57" t="n"/>
      <c r="G74" s="57" t="n"/>
      <c r="H74" s="74">
        <f>IF(C74="","",IF(OR(C74="Received",C74="Transfer In",C74="Adjustment In",C74="Return In"),D74,-D74))</f>
        <v/>
      </c>
    </row>
    <row r="75">
      <c r="A75" s="72" t="n"/>
      <c r="B75" s="57" t="n"/>
      <c r="C75" s="57" t="n"/>
      <c r="D75" s="73" t="n"/>
      <c r="E75" s="57" t="n"/>
      <c r="F75" s="57" t="n"/>
      <c r="G75" s="57" t="n"/>
      <c r="H75" s="74">
        <f>IF(C75="","",IF(OR(C75="Received",C75="Transfer In",C75="Adjustment In",C75="Return In"),D75,-D75))</f>
        <v/>
      </c>
    </row>
    <row r="76">
      <c r="A76" s="72" t="n"/>
      <c r="B76" s="57" t="n"/>
      <c r="C76" s="57" t="n"/>
      <c r="D76" s="73" t="n"/>
      <c r="E76" s="57" t="n"/>
      <c r="F76" s="57" t="n"/>
      <c r="G76" s="57" t="n"/>
      <c r="H76" s="74">
        <f>IF(C76="","",IF(OR(C76="Received",C76="Transfer In",C76="Adjustment In",C76="Return In"),D76,-D76))</f>
        <v/>
      </c>
    </row>
    <row r="77">
      <c r="A77" s="72" t="n"/>
      <c r="B77" s="57" t="n"/>
      <c r="C77" s="57" t="n"/>
      <c r="D77" s="73" t="n"/>
      <c r="E77" s="57" t="n"/>
      <c r="F77" s="57" t="n"/>
      <c r="G77" s="57" t="n"/>
      <c r="H77" s="74">
        <f>IF(C77="","",IF(OR(C77="Received",C77="Transfer In",C77="Adjustment In",C77="Return In"),D77,-D77))</f>
        <v/>
      </c>
    </row>
    <row r="78">
      <c r="A78" s="72" t="n"/>
      <c r="B78" s="57" t="n"/>
      <c r="C78" s="57" t="n"/>
      <c r="D78" s="73" t="n"/>
      <c r="E78" s="57" t="n"/>
      <c r="F78" s="57" t="n"/>
      <c r="G78" s="57" t="n"/>
      <c r="H78" s="74">
        <f>IF(C78="","",IF(OR(C78="Received",C78="Transfer In",C78="Adjustment In",C78="Return In"),D78,-D78))</f>
        <v/>
      </c>
    </row>
    <row r="79">
      <c r="A79" s="72" t="n"/>
      <c r="B79" s="57" t="n"/>
      <c r="C79" s="57" t="n"/>
      <c r="D79" s="73" t="n"/>
      <c r="E79" s="57" t="n"/>
      <c r="F79" s="57" t="n"/>
      <c r="G79" s="57" t="n"/>
      <c r="H79" s="74">
        <f>IF(C79="","",IF(OR(C79="Received",C79="Transfer In",C79="Adjustment In",C79="Return In"),D79,-D79))</f>
        <v/>
      </c>
    </row>
    <row r="80">
      <c r="A80" s="72" t="n"/>
      <c r="B80" s="57" t="n"/>
      <c r="C80" s="57" t="n"/>
      <c r="D80" s="73" t="n"/>
      <c r="E80" s="57" t="n"/>
      <c r="F80" s="57" t="n"/>
      <c r="G80" s="57" t="n"/>
      <c r="H80" s="74">
        <f>IF(C80="","",IF(OR(C80="Received",C80="Transfer In",C80="Adjustment In",C80="Return In"),D80,-D80))</f>
        <v/>
      </c>
    </row>
    <row r="81">
      <c r="A81" s="72" t="n"/>
      <c r="B81" s="57" t="n"/>
      <c r="C81" s="57" t="n"/>
      <c r="D81" s="73" t="n"/>
      <c r="E81" s="57" t="n"/>
      <c r="F81" s="57" t="n"/>
      <c r="G81" s="57" t="n"/>
      <c r="H81" s="74">
        <f>IF(C81="","",IF(OR(C81="Received",C81="Transfer In",C81="Adjustment In",C81="Return In"),D81,-D81))</f>
        <v/>
      </c>
    </row>
    <row r="82">
      <c r="A82" s="72" t="n"/>
      <c r="B82" s="57" t="n"/>
      <c r="C82" s="57" t="n"/>
      <c r="D82" s="73" t="n"/>
      <c r="E82" s="57" t="n"/>
      <c r="F82" s="57" t="n"/>
      <c r="G82" s="57" t="n"/>
      <c r="H82" s="74">
        <f>IF(C82="","",IF(OR(C82="Received",C82="Transfer In",C82="Adjustment In",C82="Return In"),D82,-D82))</f>
        <v/>
      </c>
    </row>
    <row r="83">
      <c r="A83" s="72" t="n"/>
      <c r="B83" s="57" t="n"/>
      <c r="C83" s="57" t="n"/>
      <c r="D83" s="73" t="n"/>
      <c r="E83" s="57" t="n"/>
      <c r="F83" s="57" t="n"/>
      <c r="G83" s="57" t="n"/>
      <c r="H83" s="74">
        <f>IF(C83="","",IF(OR(C83="Received",C83="Transfer In",C83="Adjustment In",C83="Return In"),D83,-D83))</f>
        <v/>
      </c>
    </row>
    <row r="84">
      <c r="A84" s="72" t="n"/>
      <c r="B84" s="57" t="n"/>
      <c r="C84" s="57" t="n"/>
      <c r="D84" s="73" t="n"/>
      <c r="E84" s="57" t="n"/>
      <c r="F84" s="57" t="n"/>
      <c r="G84" s="57" t="n"/>
      <c r="H84" s="74">
        <f>IF(C84="","",IF(OR(C84="Received",C84="Transfer In",C84="Adjustment In",C84="Return In"),D84,-D84))</f>
        <v/>
      </c>
    </row>
    <row r="85">
      <c r="A85" s="72" t="n"/>
      <c r="B85" s="57" t="n"/>
      <c r="C85" s="57" t="n"/>
      <c r="D85" s="73" t="n"/>
      <c r="E85" s="57" t="n"/>
      <c r="F85" s="57" t="n"/>
      <c r="G85" s="57" t="n"/>
      <c r="H85" s="74">
        <f>IF(C85="","",IF(OR(C85="Received",C85="Transfer In",C85="Adjustment In",C85="Return In"),D85,-D85))</f>
        <v/>
      </c>
    </row>
    <row r="86">
      <c r="A86" s="72" t="n"/>
      <c r="B86" s="57" t="n"/>
      <c r="C86" s="57" t="n"/>
      <c r="D86" s="73" t="n"/>
      <c r="E86" s="57" t="n"/>
      <c r="F86" s="57" t="n"/>
      <c r="G86" s="57" t="n"/>
      <c r="H86" s="74">
        <f>IF(C86="","",IF(OR(C86="Received",C86="Transfer In",C86="Adjustment In",C86="Return In"),D86,-D86))</f>
        <v/>
      </c>
    </row>
    <row r="87">
      <c r="A87" s="72" t="n"/>
      <c r="B87" s="57" t="n"/>
      <c r="C87" s="57" t="n"/>
      <c r="D87" s="73" t="n"/>
      <c r="E87" s="57" t="n"/>
      <c r="F87" s="57" t="n"/>
      <c r="G87" s="57" t="n"/>
      <c r="H87" s="74">
        <f>IF(C87="","",IF(OR(C87="Received",C87="Transfer In",C87="Adjustment In",C87="Return In"),D87,-D87))</f>
        <v/>
      </c>
    </row>
    <row r="88">
      <c r="A88" s="72" t="n"/>
      <c r="B88" s="57" t="n"/>
      <c r="C88" s="57" t="n"/>
      <c r="D88" s="73" t="n"/>
      <c r="E88" s="57" t="n"/>
      <c r="F88" s="57" t="n"/>
      <c r="G88" s="57" t="n"/>
      <c r="H88" s="74">
        <f>IF(C88="","",IF(OR(C88="Received",C88="Transfer In",C88="Adjustment In",C88="Return In"),D88,-D88))</f>
        <v/>
      </c>
    </row>
    <row r="89">
      <c r="A89" s="72" t="n"/>
      <c r="B89" s="57" t="n"/>
      <c r="C89" s="57" t="n"/>
      <c r="D89" s="73" t="n"/>
      <c r="E89" s="57" t="n"/>
      <c r="F89" s="57" t="n"/>
      <c r="G89" s="57" t="n"/>
      <c r="H89" s="74">
        <f>IF(C89="","",IF(OR(C89="Received",C89="Transfer In",C89="Adjustment In",C89="Return In"),D89,-D89))</f>
        <v/>
      </c>
    </row>
    <row r="90">
      <c r="A90" s="72" t="n"/>
      <c r="B90" s="57" t="n"/>
      <c r="C90" s="57" t="n"/>
      <c r="D90" s="73" t="n"/>
      <c r="E90" s="57" t="n"/>
      <c r="F90" s="57" t="n"/>
      <c r="G90" s="57" t="n"/>
      <c r="H90" s="74">
        <f>IF(C90="","",IF(OR(C90="Received",C90="Transfer In",C90="Adjustment In",C90="Return In"),D90,-D90))</f>
        <v/>
      </c>
    </row>
    <row r="91">
      <c r="A91" s="72" t="n"/>
      <c r="B91" s="57" t="n"/>
      <c r="C91" s="57" t="n"/>
      <c r="D91" s="73" t="n"/>
      <c r="E91" s="57" t="n"/>
      <c r="F91" s="57" t="n"/>
      <c r="G91" s="57" t="n"/>
      <c r="H91" s="74">
        <f>IF(C91="","",IF(OR(C91="Received",C91="Transfer In",C91="Adjustment In",C91="Return In"),D91,-D91))</f>
        <v/>
      </c>
    </row>
    <row r="92">
      <c r="A92" s="72" t="n"/>
      <c r="B92" s="57" t="n"/>
      <c r="C92" s="57" t="n"/>
      <c r="D92" s="73" t="n"/>
      <c r="E92" s="57" t="n"/>
      <c r="F92" s="57" t="n"/>
      <c r="G92" s="57" t="n"/>
      <c r="H92" s="74">
        <f>IF(C92="","",IF(OR(C92="Received",C92="Transfer In",C92="Adjustment In",C92="Return In"),D92,-D92))</f>
        <v/>
      </c>
    </row>
    <row r="93">
      <c r="A93" s="72" t="n"/>
      <c r="B93" s="57" t="n"/>
      <c r="C93" s="57" t="n"/>
      <c r="D93" s="73" t="n"/>
      <c r="E93" s="57" t="n"/>
      <c r="F93" s="57" t="n"/>
      <c r="G93" s="57" t="n"/>
      <c r="H93" s="74">
        <f>IF(C93="","",IF(OR(C93="Received",C93="Transfer In",C93="Adjustment In",C93="Return In"),D93,-D93))</f>
        <v/>
      </c>
    </row>
    <row r="94">
      <c r="A94" s="72" t="n"/>
      <c r="B94" s="57" t="n"/>
      <c r="C94" s="57" t="n"/>
      <c r="D94" s="73" t="n"/>
      <c r="E94" s="57" t="n"/>
      <c r="F94" s="57" t="n"/>
      <c r="G94" s="57" t="n"/>
      <c r="H94" s="74">
        <f>IF(C94="","",IF(OR(C94="Received",C94="Transfer In",C94="Adjustment In",C94="Return In"),D94,-D94))</f>
        <v/>
      </c>
    </row>
    <row r="95">
      <c r="A95" s="72" t="n"/>
      <c r="B95" s="57" t="n"/>
      <c r="C95" s="57" t="n"/>
      <c r="D95" s="73" t="n"/>
      <c r="E95" s="57" t="n"/>
      <c r="F95" s="57" t="n"/>
      <c r="G95" s="57" t="n"/>
      <c r="H95" s="74">
        <f>IF(C95="","",IF(OR(C95="Received",C95="Transfer In",C95="Adjustment In",C95="Return In"),D95,-D95))</f>
        <v/>
      </c>
    </row>
    <row r="96">
      <c r="A96" s="72" t="n"/>
      <c r="B96" s="57" t="n"/>
      <c r="C96" s="57" t="n"/>
      <c r="D96" s="73" t="n"/>
      <c r="E96" s="57" t="n"/>
      <c r="F96" s="57" t="n"/>
      <c r="G96" s="57" t="n"/>
      <c r="H96" s="74">
        <f>IF(C96="","",IF(OR(C96="Received",C96="Transfer In",C96="Adjustment In",C96="Return In"),D96,-D96))</f>
        <v/>
      </c>
    </row>
    <row r="97">
      <c r="A97" s="72" t="n"/>
      <c r="B97" s="57" t="n"/>
      <c r="C97" s="57" t="n"/>
      <c r="D97" s="73" t="n"/>
      <c r="E97" s="57" t="n"/>
      <c r="F97" s="57" t="n"/>
      <c r="G97" s="57" t="n"/>
      <c r="H97" s="74">
        <f>IF(C97="","",IF(OR(C97="Received",C97="Transfer In",C97="Adjustment In",C97="Return In"),D97,-D97))</f>
        <v/>
      </c>
    </row>
    <row r="98">
      <c r="A98" s="72" t="n"/>
      <c r="B98" s="57" t="n"/>
      <c r="C98" s="57" t="n"/>
      <c r="D98" s="73" t="n"/>
      <c r="E98" s="57" t="n"/>
      <c r="F98" s="57" t="n"/>
      <c r="G98" s="57" t="n"/>
      <c r="H98" s="74">
        <f>IF(C98="","",IF(OR(C98="Received",C98="Transfer In",C98="Adjustment In",C98="Return In"),D98,-D98))</f>
        <v/>
      </c>
    </row>
    <row r="99">
      <c r="A99" s="72" t="n"/>
      <c r="B99" s="57" t="n"/>
      <c r="C99" s="57" t="n"/>
      <c r="D99" s="73" t="n"/>
      <c r="E99" s="57" t="n"/>
      <c r="F99" s="57" t="n"/>
      <c r="G99" s="57" t="n"/>
      <c r="H99" s="74">
        <f>IF(C99="","",IF(OR(C99="Received",C99="Transfer In",C99="Adjustment In",C99="Return In"),D99,-D99))</f>
        <v/>
      </c>
    </row>
    <row r="100">
      <c r="A100" s="72" t="n"/>
      <c r="B100" s="57" t="n"/>
      <c r="C100" s="57" t="n"/>
      <c r="D100" s="73" t="n"/>
      <c r="E100" s="57" t="n"/>
      <c r="F100" s="57" t="n"/>
      <c r="G100" s="57" t="n"/>
      <c r="H100" s="74">
        <f>IF(C100="","",IF(OR(C100="Received",C100="Transfer In",C100="Adjustment In",C100="Return In"),D100,-D100))</f>
        <v/>
      </c>
    </row>
    <row r="101">
      <c r="A101" s="72" t="n"/>
      <c r="B101" s="57" t="n"/>
      <c r="C101" s="57" t="n"/>
      <c r="D101" s="73" t="n"/>
      <c r="E101" s="57" t="n"/>
      <c r="F101" s="57" t="n"/>
      <c r="G101" s="57" t="n"/>
      <c r="H101" s="74">
        <f>IF(C101="","",IF(OR(C101="Received",C101="Transfer In",C101="Adjustment In",C101="Return In"),D101,-D101))</f>
        <v/>
      </c>
    </row>
    <row r="102">
      <c r="A102" s="72" t="n"/>
      <c r="B102" s="57" t="n"/>
      <c r="C102" s="57" t="n"/>
      <c r="D102" s="73" t="n"/>
      <c r="E102" s="57" t="n"/>
      <c r="F102" s="57" t="n"/>
      <c r="G102" s="57" t="n"/>
      <c r="H102" s="74">
        <f>IF(C102="","",IF(OR(C102="Received",C102="Transfer In",C102="Adjustment In",C102="Return In"),D102,-D102))</f>
        <v/>
      </c>
    </row>
    <row r="103">
      <c r="A103" s="72" t="n"/>
      <c r="B103" s="57" t="n"/>
      <c r="C103" s="57" t="n"/>
      <c r="D103" s="73" t="n"/>
      <c r="E103" s="57" t="n"/>
      <c r="F103" s="57" t="n"/>
      <c r="G103" s="57" t="n"/>
      <c r="H103" s="74">
        <f>IF(C103="","",IF(OR(C103="Received",C103="Transfer In",C103="Adjustment In",C103="Return In"),D103,-D103))</f>
        <v/>
      </c>
    </row>
    <row r="104">
      <c r="A104" s="72" t="n"/>
      <c r="B104" s="57" t="n"/>
      <c r="C104" s="57" t="n"/>
      <c r="D104" s="73" t="n"/>
      <c r="E104" s="57" t="n"/>
      <c r="F104" s="57" t="n"/>
      <c r="G104" s="57" t="n"/>
      <c r="H104" s="74">
        <f>IF(C104="","",IF(OR(C104="Received",C104="Transfer In",C104="Adjustment In",C104="Return In"),D104,-D104))</f>
        <v/>
      </c>
    </row>
    <row r="105">
      <c r="A105" s="72" t="n"/>
      <c r="B105" s="57" t="n"/>
      <c r="C105" s="57" t="n"/>
      <c r="D105" s="73" t="n"/>
      <c r="E105" s="57" t="n"/>
      <c r="F105" s="57" t="n"/>
      <c r="G105" s="57" t="n"/>
      <c r="H105" s="74">
        <f>IF(C105="","",IF(OR(C105="Received",C105="Transfer In",C105="Adjustment In",C105="Return In"),D105,-D105))</f>
        <v/>
      </c>
    </row>
    <row r="106">
      <c r="A106" s="72" t="n"/>
      <c r="B106" s="57" t="n"/>
      <c r="C106" s="57" t="n"/>
      <c r="D106" s="73" t="n"/>
      <c r="E106" s="57" t="n"/>
      <c r="F106" s="57" t="n"/>
      <c r="G106" s="57" t="n"/>
      <c r="H106" s="74">
        <f>IF(C106="","",IF(OR(C106="Received",C106="Transfer In",C106="Adjustment In",C106="Return In"),D106,-D106))</f>
        <v/>
      </c>
    </row>
    <row r="107">
      <c r="A107" s="72" t="n"/>
      <c r="B107" s="57" t="n"/>
      <c r="C107" s="57" t="n"/>
      <c r="D107" s="73" t="n"/>
      <c r="E107" s="57" t="n"/>
      <c r="F107" s="57" t="n"/>
      <c r="G107" s="57" t="n"/>
      <c r="H107" s="74">
        <f>IF(C107="","",IF(OR(C107="Received",C107="Transfer In",C107="Adjustment In",C107="Return In"),D107,-D107))</f>
        <v/>
      </c>
    </row>
    <row r="108">
      <c r="A108" s="72" t="n"/>
      <c r="B108" s="57" t="n"/>
      <c r="C108" s="57" t="n"/>
      <c r="D108" s="73" t="n"/>
      <c r="E108" s="57" t="n"/>
      <c r="F108" s="57" t="n"/>
      <c r="G108" s="57" t="n"/>
      <c r="H108" s="74">
        <f>IF(C108="","",IF(OR(C108="Received",C108="Transfer In",C108="Adjustment In",C108="Return In"),D108,-D108))</f>
        <v/>
      </c>
    </row>
    <row r="109">
      <c r="A109" s="72" t="n"/>
      <c r="B109" s="57" t="n"/>
      <c r="C109" s="57" t="n"/>
      <c r="D109" s="73" t="n"/>
      <c r="E109" s="57" t="n"/>
      <c r="F109" s="57" t="n"/>
      <c r="G109" s="57" t="n"/>
      <c r="H109" s="74">
        <f>IF(C109="","",IF(OR(C109="Received",C109="Transfer In",C109="Adjustment In",C109="Return In"),D109,-D109))</f>
        <v/>
      </c>
    </row>
    <row r="110">
      <c r="A110" s="72" t="n"/>
      <c r="B110" s="57" t="n"/>
      <c r="C110" s="57" t="n"/>
      <c r="D110" s="73" t="n"/>
      <c r="E110" s="57" t="n"/>
      <c r="F110" s="57" t="n"/>
      <c r="G110" s="57" t="n"/>
      <c r="H110" s="74">
        <f>IF(C110="","",IF(OR(C110="Received",C110="Transfer In",C110="Adjustment In",C110="Return In"),D110,-D110))</f>
        <v/>
      </c>
    </row>
    <row r="111">
      <c r="A111" s="72" t="n"/>
      <c r="B111" s="57" t="n"/>
      <c r="C111" s="57" t="n"/>
      <c r="D111" s="73" t="n"/>
      <c r="E111" s="57" t="n"/>
      <c r="F111" s="57" t="n"/>
      <c r="G111" s="57" t="n"/>
      <c r="H111" s="74">
        <f>IF(C111="","",IF(OR(C111="Received",C111="Transfer In",C111="Adjustment In",C111="Return In"),D111,-D111))</f>
        <v/>
      </c>
    </row>
    <row r="112">
      <c r="A112" s="72" t="n"/>
      <c r="B112" s="57" t="n"/>
      <c r="C112" s="57" t="n"/>
      <c r="D112" s="73" t="n"/>
      <c r="E112" s="57" t="n"/>
      <c r="F112" s="57" t="n"/>
      <c r="G112" s="57" t="n"/>
      <c r="H112" s="74">
        <f>IF(C112="","",IF(OR(C112="Received",C112="Transfer In",C112="Adjustment In",C112="Return In"),D112,-D112))</f>
        <v/>
      </c>
    </row>
    <row r="113">
      <c r="A113" s="72" t="n"/>
      <c r="B113" s="57" t="n"/>
      <c r="C113" s="57" t="n"/>
      <c r="D113" s="73" t="n"/>
      <c r="E113" s="57" t="n"/>
      <c r="F113" s="57" t="n"/>
      <c r="G113" s="57" t="n"/>
      <c r="H113" s="74">
        <f>IF(C113="","",IF(OR(C113="Received",C113="Transfer In",C113="Adjustment In",C113="Return In"),D113,-D113))</f>
        <v/>
      </c>
    </row>
    <row r="114">
      <c r="A114" s="72" t="n"/>
      <c r="B114" s="57" t="n"/>
      <c r="C114" s="57" t="n"/>
      <c r="D114" s="73" t="n"/>
      <c r="E114" s="57" t="n"/>
      <c r="F114" s="57" t="n"/>
      <c r="G114" s="57" t="n"/>
      <c r="H114" s="74">
        <f>IF(C114="","",IF(OR(C114="Received",C114="Transfer In",C114="Adjustment In",C114="Return In"),D114,-D114))</f>
        <v/>
      </c>
    </row>
    <row r="115">
      <c r="A115" s="72" t="n"/>
      <c r="B115" s="57" t="n"/>
      <c r="C115" s="57" t="n"/>
      <c r="D115" s="73" t="n"/>
      <c r="E115" s="57" t="n"/>
      <c r="F115" s="57" t="n"/>
      <c r="G115" s="57" t="n"/>
      <c r="H115" s="74">
        <f>IF(C115="","",IF(OR(C115="Received",C115="Transfer In",C115="Adjustment In",C115="Return In"),D115,-D115))</f>
        <v/>
      </c>
    </row>
    <row r="116">
      <c r="A116" s="72" t="n"/>
      <c r="B116" s="57" t="n"/>
      <c r="C116" s="57" t="n"/>
      <c r="D116" s="73" t="n"/>
      <c r="E116" s="57" t="n"/>
      <c r="F116" s="57" t="n"/>
      <c r="G116" s="57" t="n"/>
      <c r="H116" s="74">
        <f>IF(C116="","",IF(OR(C116="Received",C116="Transfer In",C116="Adjustment In",C116="Return In"),D116,-D116))</f>
        <v/>
      </c>
    </row>
    <row r="117">
      <c r="A117" s="72" t="n"/>
      <c r="B117" s="57" t="n"/>
      <c r="C117" s="57" t="n"/>
      <c r="D117" s="73" t="n"/>
      <c r="E117" s="57" t="n"/>
      <c r="F117" s="57" t="n"/>
      <c r="G117" s="57" t="n"/>
      <c r="H117" s="74">
        <f>IF(C117="","",IF(OR(C117="Received",C117="Transfer In",C117="Adjustment In",C117="Return In"),D117,-D117))</f>
        <v/>
      </c>
    </row>
    <row r="118">
      <c r="A118" s="72" t="n"/>
      <c r="B118" s="57" t="n"/>
      <c r="C118" s="57" t="n"/>
      <c r="D118" s="73" t="n"/>
      <c r="E118" s="57" t="n"/>
      <c r="F118" s="57" t="n"/>
      <c r="G118" s="57" t="n"/>
      <c r="H118" s="74">
        <f>IF(C118="","",IF(OR(C118="Received",C118="Transfer In",C118="Adjustment In",C118="Return In"),D118,-D118))</f>
        <v/>
      </c>
    </row>
    <row r="119">
      <c r="A119" s="72" t="n"/>
      <c r="B119" s="57" t="n"/>
      <c r="C119" s="57" t="n"/>
      <c r="D119" s="73" t="n"/>
      <c r="E119" s="57" t="n"/>
      <c r="F119" s="57" t="n"/>
      <c r="G119" s="57" t="n"/>
      <c r="H119" s="74">
        <f>IF(C119="","",IF(OR(C119="Received",C119="Transfer In",C119="Adjustment In",C119="Return In"),D119,-D119))</f>
        <v/>
      </c>
    </row>
    <row r="120">
      <c r="A120" s="72" t="n"/>
      <c r="B120" s="57" t="n"/>
      <c r="C120" s="57" t="n"/>
      <c r="D120" s="73" t="n"/>
      <c r="E120" s="57" t="n"/>
      <c r="F120" s="57" t="n"/>
      <c r="G120" s="57" t="n"/>
      <c r="H120" s="74">
        <f>IF(C120="","",IF(OR(C120="Received",C120="Transfer In",C120="Adjustment In",C120="Return In"),D120,-D120))</f>
        <v/>
      </c>
    </row>
    <row r="121">
      <c r="A121" s="72" t="n"/>
      <c r="B121" s="57" t="n"/>
      <c r="C121" s="57" t="n"/>
      <c r="D121" s="73" t="n"/>
      <c r="E121" s="57" t="n"/>
      <c r="F121" s="57" t="n"/>
      <c r="G121" s="57" t="n"/>
      <c r="H121" s="74">
        <f>IF(C121="","",IF(OR(C121="Received",C121="Transfer In",C121="Adjustment In",C121="Return In"),D121,-D121))</f>
        <v/>
      </c>
    </row>
    <row r="122">
      <c r="A122" s="72" t="n"/>
      <c r="B122" s="57" t="n"/>
      <c r="C122" s="57" t="n"/>
      <c r="D122" s="73" t="n"/>
      <c r="E122" s="57" t="n"/>
      <c r="F122" s="57" t="n"/>
      <c r="G122" s="57" t="n"/>
      <c r="H122" s="74">
        <f>IF(C122="","",IF(OR(C122="Received",C122="Transfer In",C122="Adjustment In",C122="Return In"),D122,-D122))</f>
        <v/>
      </c>
    </row>
    <row r="123">
      <c r="A123" s="72" t="n"/>
      <c r="B123" s="57" t="n"/>
      <c r="C123" s="57" t="n"/>
      <c r="D123" s="73" t="n"/>
      <c r="E123" s="57" t="n"/>
      <c r="F123" s="57" t="n"/>
      <c r="G123" s="57" t="n"/>
      <c r="H123" s="74">
        <f>IF(C123="","",IF(OR(C123="Received",C123="Transfer In",C123="Adjustment In",C123="Return In"),D123,-D123))</f>
        <v/>
      </c>
    </row>
    <row r="124">
      <c r="A124" s="72" t="n"/>
      <c r="B124" s="57" t="n"/>
      <c r="C124" s="57" t="n"/>
      <c r="D124" s="73" t="n"/>
      <c r="E124" s="57" t="n"/>
      <c r="F124" s="57" t="n"/>
      <c r="G124" s="57" t="n"/>
      <c r="H124" s="74">
        <f>IF(C124="","",IF(OR(C124="Received",C124="Transfer In",C124="Adjustment In",C124="Return In"),D124,-D124))</f>
        <v/>
      </c>
    </row>
    <row r="125">
      <c r="A125" s="72" t="n"/>
      <c r="B125" s="57" t="n"/>
      <c r="C125" s="57" t="n"/>
      <c r="D125" s="73" t="n"/>
      <c r="E125" s="57" t="n"/>
      <c r="F125" s="57" t="n"/>
      <c r="G125" s="57" t="n"/>
      <c r="H125" s="74">
        <f>IF(C125="","",IF(OR(C125="Received",C125="Transfer In",C125="Adjustment In",C125="Return In"),D125,-D125))</f>
        <v/>
      </c>
    </row>
    <row r="126">
      <c r="A126" s="72" t="n"/>
      <c r="B126" s="57" t="n"/>
      <c r="C126" s="57" t="n"/>
      <c r="D126" s="73" t="n"/>
      <c r="E126" s="57" t="n"/>
      <c r="F126" s="57" t="n"/>
      <c r="G126" s="57" t="n"/>
      <c r="H126" s="74">
        <f>IF(C126="","",IF(OR(C126="Received",C126="Transfer In",C126="Adjustment In",C126="Return In"),D126,-D126))</f>
        <v/>
      </c>
    </row>
    <row r="127">
      <c r="A127" s="72" t="n"/>
      <c r="B127" s="57" t="n"/>
      <c r="C127" s="57" t="n"/>
      <c r="D127" s="73" t="n"/>
      <c r="E127" s="57" t="n"/>
      <c r="F127" s="57" t="n"/>
      <c r="G127" s="57" t="n"/>
      <c r="H127" s="74">
        <f>IF(C127="","",IF(OR(C127="Received",C127="Transfer In",C127="Adjustment In",C127="Return In"),D127,-D127))</f>
        <v/>
      </c>
    </row>
    <row r="128">
      <c r="A128" s="72" t="n"/>
      <c r="B128" s="57" t="n"/>
      <c r="C128" s="57" t="n"/>
      <c r="D128" s="73" t="n"/>
      <c r="E128" s="57" t="n"/>
      <c r="F128" s="57" t="n"/>
      <c r="G128" s="57" t="n"/>
      <c r="H128" s="74">
        <f>IF(C128="","",IF(OR(C128="Received",C128="Transfer In",C128="Adjustment In",C128="Return In"),D128,-D128))</f>
        <v/>
      </c>
    </row>
    <row r="129">
      <c r="A129" s="72" t="n"/>
      <c r="B129" s="57" t="n"/>
      <c r="C129" s="57" t="n"/>
      <c r="D129" s="73" t="n"/>
      <c r="E129" s="57" t="n"/>
      <c r="F129" s="57" t="n"/>
      <c r="G129" s="57" t="n"/>
      <c r="H129" s="74">
        <f>IF(C129="","",IF(OR(C129="Received",C129="Transfer In",C129="Adjustment In",C129="Return In"),D129,-D129))</f>
        <v/>
      </c>
    </row>
    <row r="130">
      <c r="A130" s="72" t="n"/>
      <c r="B130" s="57" t="n"/>
      <c r="C130" s="57" t="n"/>
      <c r="D130" s="73" t="n"/>
      <c r="E130" s="57" t="n"/>
      <c r="F130" s="57" t="n"/>
      <c r="G130" s="57" t="n"/>
      <c r="H130" s="74">
        <f>IF(C130="","",IF(OR(C130="Received",C130="Transfer In",C130="Adjustment In",C130="Return In"),D130,-D130))</f>
        <v/>
      </c>
    </row>
    <row r="131">
      <c r="A131" s="72" t="n"/>
      <c r="B131" s="57" t="n"/>
      <c r="C131" s="57" t="n"/>
      <c r="D131" s="73" t="n"/>
      <c r="E131" s="57" t="n"/>
      <c r="F131" s="57" t="n"/>
      <c r="G131" s="57" t="n"/>
      <c r="H131" s="74">
        <f>IF(C131="","",IF(OR(C131="Received",C131="Transfer In",C131="Adjustment In",C131="Return In"),D131,-D131))</f>
        <v/>
      </c>
    </row>
    <row r="132">
      <c r="A132" s="72" t="n"/>
      <c r="B132" s="57" t="n"/>
      <c r="C132" s="57" t="n"/>
      <c r="D132" s="73" t="n"/>
      <c r="E132" s="57" t="n"/>
      <c r="F132" s="57" t="n"/>
      <c r="G132" s="57" t="n"/>
      <c r="H132" s="74">
        <f>IF(C132="","",IF(OR(C132="Received",C132="Transfer In",C132="Adjustment In",C132="Return In"),D132,-D132))</f>
        <v/>
      </c>
    </row>
    <row r="133">
      <c r="A133" s="72" t="n"/>
      <c r="B133" s="57" t="n"/>
      <c r="C133" s="57" t="n"/>
      <c r="D133" s="73" t="n"/>
      <c r="E133" s="57" t="n"/>
      <c r="F133" s="57" t="n"/>
      <c r="G133" s="57" t="n"/>
      <c r="H133" s="74">
        <f>IF(C133="","",IF(OR(C133="Received",C133="Transfer In",C133="Adjustment In",C133="Return In"),D133,-D133))</f>
        <v/>
      </c>
    </row>
    <row r="134">
      <c r="A134" s="72" t="n"/>
      <c r="B134" s="57" t="n"/>
      <c r="C134" s="57" t="n"/>
      <c r="D134" s="73" t="n"/>
      <c r="E134" s="57" t="n"/>
      <c r="F134" s="57" t="n"/>
      <c r="G134" s="57" t="n"/>
      <c r="H134" s="74">
        <f>IF(C134="","",IF(OR(C134="Received",C134="Transfer In",C134="Adjustment In",C134="Return In"),D134,-D134))</f>
        <v/>
      </c>
    </row>
    <row r="135">
      <c r="A135" s="72" t="n"/>
      <c r="B135" s="57" t="n"/>
      <c r="C135" s="57" t="n"/>
      <c r="D135" s="73" t="n"/>
      <c r="E135" s="57" t="n"/>
      <c r="F135" s="57" t="n"/>
      <c r="G135" s="57" t="n"/>
      <c r="H135" s="74">
        <f>IF(C135="","",IF(OR(C135="Received",C135="Transfer In",C135="Adjustment In",C135="Return In"),D135,-D135))</f>
        <v/>
      </c>
    </row>
    <row r="136">
      <c r="A136" s="72" t="n"/>
      <c r="B136" s="57" t="n"/>
      <c r="C136" s="57" t="n"/>
      <c r="D136" s="73" t="n"/>
      <c r="E136" s="57" t="n"/>
      <c r="F136" s="57" t="n"/>
      <c r="G136" s="57" t="n"/>
      <c r="H136" s="74">
        <f>IF(C136="","",IF(OR(C136="Received",C136="Transfer In",C136="Adjustment In",C136="Return In"),D136,-D136))</f>
        <v/>
      </c>
    </row>
    <row r="137">
      <c r="A137" s="72" t="n"/>
      <c r="B137" s="57" t="n"/>
      <c r="C137" s="57" t="n"/>
      <c r="D137" s="73" t="n"/>
      <c r="E137" s="57" t="n"/>
      <c r="F137" s="57" t="n"/>
      <c r="G137" s="57" t="n"/>
      <c r="H137" s="74">
        <f>IF(C137="","",IF(OR(C137="Received",C137="Transfer In",C137="Adjustment In",C137="Return In"),D137,-D137))</f>
        <v/>
      </c>
    </row>
    <row r="138">
      <c r="A138" s="72" t="n"/>
      <c r="B138" s="57" t="n"/>
      <c r="C138" s="57" t="n"/>
      <c r="D138" s="73" t="n"/>
      <c r="E138" s="57" t="n"/>
      <c r="F138" s="57" t="n"/>
      <c r="G138" s="57" t="n"/>
      <c r="H138" s="74">
        <f>IF(C138="","",IF(OR(C138="Received",C138="Transfer In",C138="Adjustment In",C138="Return In"),D138,-D138))</f>
        <v/>
      </c>
    </row>
    <row r="139">
      <c r="A139" s="72" t="n"/>
      <c r="B139" s="57" t="n"/>
      <c r="C139" s="57" t="n"/>
      <c r="D139" s="73" t="n"/>
      <c r="E139" s="57" t="n"/>
      <c r="F139" s="57" t="n"/>
      <c r="G139" s="57" t="n"/>
      <c r="H139" s="74">
        <f>IF(C139="","",IF(OR(C139="Received",C139="Transfer In",C139="Adjustment In",C139="Return In"),D139,-D139))</f>
        <v/>
      </c>
    </row>
    <row r="140">
      <c r="A140" s="72" t="n"/>
      <c r="B140" s="57" t="n"/>
      <c r="C140" s="57" t="n"/>
      <c r="D140" s="73" t="n"/>
      <c r="E140" s="57" t="n"/>
      <c r="F140" s="57" t="n"/>
      <c r="G140" s="57" t="n"/>
      <c r="H140" s="74">
        <f>IF(C140="","",IF(OR(C140="Received",C140="Transfer In",C140="Adjustment In",C140="Return In"),D140,-D140))</f>
        <v/>
      </c>
    </row>
    <row r="141">
      <c r="A141" s="72" t="n"/>
      <c r="B141" s="57" t="n"/>
      <c r="C141" s="57" t="n"/>
      <c r="D141" s="73" t="n"/>
      <c r="E141" s="57" t="n"/>
      <c r="F141" s="57" t="n"/>
      <c r="G141" s="57" t="n"/>
      <c r="H141" s="74">
        <f>IF(C141="","",IF(OR(C141="Received",C141="Transfer In",C141="Adjustment In",C141="Return In"),D141,-D141))</f>
        <v/>
      </c>
    </row>
    <row r="142">
      <c r="A142" s="72" t="n"/>
      <c r="B142" s="57" t="n"/>
      <c r="C142" s="57" t="n"/>
      <c r="D142" s="73" t="n"/>
      <c r="E142" s="57" t="n"/>
      <c r="F142" s="57" t="n"/>
      <c r="G142" s="57" t="n"/>
      <c r="H142" s="74">
        <f>IF(C142="","",IF(OR(C142="Received",C142="Transfer In",C142="Adjustment In",C142="Return In"),D142,-D142))</f>
        <v/>
      </c>
    </row>
    <row r="143">
      <c r="A143" s="72" t="n"/>
      <c r="B143" s="57" t="n"/>
      <c r="C143" s="57" t="n"/>
      <c r="D143" s="73" t="n"/>
      <c r="E143" s="57" t="n"/>
      <c r="F143" s="57" t="n"/>
      <c r="G143" s="57" t="n"/>
      <c r="H143" s="74">
        <f>IF(C143="","",IF(OR(C143="Received",C143="Transfer In",C143="Adjustment In",C143="Return In"),D143,-D143))</f>
        <v/>
      </c>
    </row>
    <row r="144">
      <c r="A144" s="72" t="n"/>
      <c r="B144" s="57" t="n"/>
      <c r="C144" s="57" t="n"/>
      <c r="D144" s="73" t="n"/>
      <c r="E144" s="57" t="n"/>
      <c r="F144" s="57" t="n"/>
      <c r="G144" s="57" t="n"/>
      <c r="H144" s="74">
        <f>IF(C144="","",IF(OR(C144="Received",C144="Transfer In",C144="Adjustment In",C144="Return In"),D144,-D144))</f>
        <v/>
      </c>
    </row>
    <row r="145">
      <c r="A145" s="72" t="n"/>
      <c r="B145" s="57" t="n"/>
      <c r="C145" s="57" t="n"/>
      <c r="D145" s="73" t="n"/>
      <c r="E145" s="57" t="n"/>
      <c r="F145" s="57" t="n"/>
      <c r="G145" s="57" t="n"/>
      <c r="H145" s="74">
        <f>IF(C145="","",IF(OR(C145="Received",C145="Transfer In",C145="Adjustment In",C145="Return In"),D145,-D145))</f>
        <v/>
      </c>
    </row>
    <row r="146">
      <c r="A146" s="72" t="n"/>
      <c r="B146" s="57" t="n"/>
      <c r="C146" s="57" t="n"/>
      <c r="D146" s="73" t="n"/>
      <c r="E146" s="57" t="n"/>
      <c r="F146" s="57" t="n"/>
      <c r="G146" s="57" t="n"/>
      <c r="H146" s="74">
        <f>IF(C146="","",IF(OR(C146="Received",C146="Transfer In",C146="Adjustment In",C146="Return In"),D146,-D146))</f>
        <v/>
      </c>
    </row>
    <row r="147">
      <c r="A147" s="72" t="n"/>
      <c r="B147" s="57" t="n"/>
      <c r="C147" s="57" t="n"/>
      <c r="D147" s="73" t="n"/>
      <c r="E147" s="57" t="n"/>
      <c r="F147" s="57" t="n"/>
      <c r="G147" s="57" t="n"/>
      <c r="H147" s="74">
        <f>IF(C147="","",IF(OR(C147="Received",C147="Transfer In",C147="Adjustment In",C147="Return In"),D147,-D147))</f>
        <v/>
      </c>
    </row>
    <row r="148">
      <c r="A148" s="72" t="n"/>
      <c r="B148" s="57" t="n"/>
      <c r="C148" s="57" t="n"/>
      <c r="D148" s="73" t="n"/>
      <c r="E148" s="57" t="n"/>
      <c r="F148" s="57" t="n"/>
      <c r="G148" s="57" t="n"/>
      <c r="H148" s="74">
        <f>IF(C148="","",IF(OR(C148="Received",C148="Transfer In",C148="Adjustment In",C148="Return In"),D148,-D148))</f>
        <v/>
      </c>
    </row>
    <row r="149">
      <c r="A149" s="72" t="n"/>
      <c r="B149" s="57" t="n"/>
      <c r="C149" s="57" t="n"/>
      <c r="D149" s="73" t="n"/>
      <c r="E149" s="57" t="n"/>
      <c r="F149" s="57" t="n"/>
      <c r="G149" s="57" t="n"/>
      <c r="H149" s="74">
        <f>IF(C149="","",IF(OR(C149="Received",C149="Transfer In",C149="Adjustment In",C149="Return In"),D149,-D149))</f>
        <v/>
      </c>
    </row>
    <row r="150">
      <c r="A150" s="72" t="n"/>
      <c r="B150" s="57" t="n"/>
      <c r="C150" s="57" t="n"/>
      <c r="D150" s="73" t="n"/>
      <c r="E150" s="57" t="n"/>
      <c r="F150" s="57" t="n"/>
      <c r="G150" s="57" t="n"/>
      <c r="H150" s="74">
        <f>IF(C150="","",IF(OR(C150="Received",C150="Transfer In",C150="Adjustment In",C150="Return In"),D150,-D150))</f>
        <v/>
      </c>
    </row>
    <row r="151">
      <c r="A151" s="72" t="n"/>
      <c r="B151" s="57" t="n"/>
      <c r="C151" s="57" t="n"/>
      <c r="D151" s="73" t="n"/>
      <c r="E151" s="57" t="n"/>
      <c r="F151" s="57" t="n"/>
      <c r="G151" s="57" t="n"/>
      <c r="H151" s="74">
        <f>IF(C151="","",IF(OR(C151="Received",C151="Transfer In",C151="Adjustment In",C151="Return In"),D151,-D151))</f>
        <v/>
      </c>
    </row>
    <row r="152">
      <c r="A152" s="72" t="n"/>
      <c r="B152" s="57" t="n"/>
      <c r="C152" s="57" t="n"/>
      <c r="D152" s="73" t="n"/>
      <c r="E152" s="57" t="n"/>
      <c r="F152" s="57" t="n"/>
      <c r="G152" s="57" t="n"/>
      <c r="H152" s="74">
        <f>IF(C152="","",IF(OR(C152="Received",C152="Transfer In",C152="Adjustment In",C152="Return In"),D152,-D152))</f>
        <v/>
      </c>
    </row>
    <row r="153">
      <c r="A153" s="72" t="n"/>
      <c r="B153" s="57" t="n"/>
      <c r="C153" s="57" t="n"/>
      <c r="D153" s="73" t="n"/>
      <c r="E153" s="57" t="n"/>
      <c r="F153" s="57" t="n"/>
      <c r="G153" s="57" t="n"/>
      <c r="H153" s="74">
        <f>IF(C153="","",IF(OR(C153="Received",C153="Transfer In",C153="Adjustment In",C153="Return In"),D153,-D153))</f>
        <v/>
      </c>
    </row>
    <row r="154">
      <c r="A154" s="72" t="n"/>
      <c r="B154" s="57" t="n"/>
      <c r="C154" s="57" t="n"/>
      <c r="D154" s="73" t="n"/>
      <c r="E154" s="57" t="n"/>
      <c r="F154" s="57" t="n"/>
      <c r="G154" s="57" t="n"/>
      <c r="H154" s="74">
        <f>IF(C154="","",IF(OR(C154="Received",C154="Transfer In",C154="Adjustment In",C154="Return In"),D154,-D154))</f>
        <v/>
      </c>
    </row>
    <row r="155">
      <c r="A155" s="72" t="n"/>
      <c r="B155" s="57" t="n"/>
      <c r="C155" s="57" t="n"/>
      <c r="D155" s="73" t="n"/>
      <c r="E155" s="57" t="n"/>
      <c r="F155" s="57" t="n"/>
      <c r="G155" s="57" t="n"/>
      <c r="H155" s="74">
        <f>IF(C155="","",IF(OR(C155="Received",C155="Transfer In",C155="Adjustment In",C155="Return In"),D155,-D155))</f>
        <v/>
      </c>
    </row>
    <row r="156">
      <c r="A156" s="72" t="n"/>
      <c r="B156" s="57" t="n"/>
      <c r="C156" s="57" t="n"/>
      <c r="D156" s="73" t="n"/>
      <c r="E156" s="57" t="n"/>
      <c r="F156" s="57" t="n"/>
      <c r="G156" s="57" t="n"/>
      <c r="H156" s="74">
        <f>IF(C156="","",IF(OR(C156="Received",C156="Transfer In",C156="Adjustment In",C156="Return In"),D156,-D156))</f>
        <v/>
      </c>
    </row>
    <row r="157">
      <c r="A157" s="72" t="n"/>
      <c r="B157" s="57" t="n"/>
      <c r="C157" s="57" t="n"/>
      <c r="D157" s="73" t="n"/>
      <c r="E157" s="57" t="n"/>
      <c r="F157" s="57" t="n"/>
      <c r="G157" s="57" t="n"/>
      <c r="H157" s="74">
        <f>IF(C157="","",IF(OR(C157="Received",C157="Transfer In",C157="Adjustment In",C157="Return In"),D157,-D157))</f>
        <v/>
      </c>
    </row>
    <row r="158">
      <c r="A158" s="72" t="n"/>
      <c r="B158" s="57" t="n"/>
      <c r="C158" s="57" t="n"/>
      <c r="D158" s="73" t="n"/>
      <c r="E158" s="57" t="n"/>
      <c r="F158" s="57" t="n"/>
      <c r="G158" s="57" t="n"/>
      <c r="H158" s="74">
        <f>IF(C158="","",IF(OR(C158="Received",C158="Transfer In",C158="Adjustment In",C158="Return In"),D158,-D158))</f>
        <v/>
      </c>
    </row>
    <row r="159">
      <c r="A159" s="72" t="n"/>
      <c r="B159" s="57" t="n"/>
      <c r="C159" s="57" t="n"/>
      <c r="D159" s="73" t="n"/>
      <c r="E159" s="57" t="n"/>
      <c r="F159" s="57" t="n"/>
      <c r="G159" s="57" t="n"/>
      <c r="H159" s="74">
        <f>IF(C159="","",IF(OR(C159="Received",C159="Transfer In",C159="Adjustment In",C159="Return In"),D159,-D159))</f>
        <v/>
      </c>
    </row>
    <row r="160">
      <c r="A160" s="72" t="n"/>
      <c r="B160" s="57" t="n"/>
      <c r="C160" s="57" t="n"/>
      <c r="D160" s="73" t="n"/>
      <c r="E160" s="57" t="n"/>
      <c r="F160" s="57" t="n"/>
      <c r="G160" s="57" t="n"/>
      <c r="H160" s="74">
        <f>IF(C160="","",IF(OR(C160="Received",C160="Transfer In",C160="Adjustment In",C160="Return In"),D160,-D160))</f>
        <v/>
      </c>
    </row>
    <row r="161">
      <c r="A161" s="72" t="n"/>
      <c r="B161" s="57" t="n"/>
      <c r="C161" s="57" t="n"/>
      <c r="D161" s="73" t="n"/>
      <c r="E161" s="57" t="n"/>
      <c r="F161" s="57" t="n"/>
      <c r="G161" s="57" t="n"/>
      <c r="H161" s="74">
        <f>IF(C161="","",IF(OR(C161="Received",C161="Transfer In",C161="Adjustment In",C161="Return In"),D161,-D161))</f>
        <v/>
      </c>
    </row>
    <row r="162">
      <c r="A162" s="72" t="n"/>
      <c r="B162" s="57" t="n"/>
      <c r="C162" s="57" t="n"/>
      <c r="D162" s="73" t="n"/>
      <c r="E162" s="57" t="n"/>
      <c r="F162" s="57" t="n"/>
      <c r="G162" s="57" t="n"/>
      <c r="H162" s="74">
        <f>IF(C162="","",IF(OR(C162="Received",C162="Transfer In",C162="Adjustment In",C162="Return In"),D162,-D162))</f>
        <v/>
      </c>
    </row>
    <row r="163">
      <c r="A163" s="72" t="n"/>
      <c r="B163" s="57" t="n"/>
      <c r="C163" s="57" t="n"/>
      <c r="D163" s="73" t="n"/>
      <c r="E163" s="57" t="n"/>
      <c r="F163" s="57" t="n"/>
      <c r="G163" s="57" t="n"/>
      <c r="H163" s="74">
        <f>IF(C163="","",IF(OR(C163="Received",C163="Transfer In",C163="Adjustment In",C163="Return In"),D163,-D163))</f>
        <v/>
      </c>
    </row>
    <row r="164">
      <c r="A164" s="72" t="n"/>
      <c r="B164" s="57" t="n"/>
      <c r="C164" s="57" t="n"/>
      <c r="D164" s="73" t="n"/>
      <c r="E164" s="57" t="n"/>
      <c r="F164" s="57" t="n"/>
      <c r="G164" s="57" t="n"/>
      <c r="H164" s="74">
        <f>IF(C164="","",IF(OR(C164="Received",C164="Transfer In",C164="Adjustment In",C164="Return In"),D164,-D164))</f>
        <v/>
      </c>
    </row>
    <row r="165">
      <c r="A165" s="72" t="n"/>
      <c r="B165" s="57" t="n"/>
      <c r="C165" s="57" t="n"/>
      <c r="D165" s="73" t="n"/>
      <c r="E165" s="57" t="n"/>
      <c r="F165" s="57" t="n"/>
      <c r="G165" s="57" t="n"/>
      <c r="H165" s="74">
        <f>IF(C165="","",IF(OR(C165="Received",C165="Transfer In",C165="Adjustment In",C165="Return In"),D165,-D165))</f>
        <v/>
      </c>
    </row>
    <row r="166">
      <c r="A166" s="72" t="n"/>
      <c r="B166" s="57" t="n"/>
      <c r="C166" s="57" t="n"/>
      <c r="D166" s="73" t="n"/>
      <c r="E166" s="57" t="n"/>
      <c r="F166" s="57" t="n"/>
      <c r="G166" s="57" t="n"/>
      <c r="H166" s="74">
        <f>IF(C166="","",IF(OR(C166="Received",C166="Transfer In",C166="Adjustment In",C166="Return In"),D166,-D166))</f>
        <v/>
      </c>
    </row>
    <row r="167">
      <c r="A167" s="72" t="n"/>
      <c r="B167" s="57" t="n"/>
      <c r="C167" s="57" t="n"/>
      <c r="D167" s="73" t="n"/>
      <c r="E167" s="57" t="n"/>
      <c r="F167" s="57" t="n"/>
      <c r="G167" s="57" t="n"/>
      <c r="H167" s="74">
        <f>IF(C167="","",IF(OR(C167="Received",C167="Transfer In",C167="Adjustment In",C167="Return In"),D167,-D167))</f>
        <v/>
      </c>
    </row>
    <row r="168">
      <c r="A168" s="72" t="n"/>
      <c r="B168" s="57" t="n"/>
      <c r="C168" s="57" t="n"/>
      <c r="D168" s="73" t="n"/>
      <c r="E168" s="57" t="n"/>
      <c r="F168" s="57" t="n"/>
      <c r="G168" s="57" t="n"/>
      <c r="H168" s="74">
        <f>IF(C168="","",IF(OR(C168="Received",C168="Transfer In",C168="Adjustment In",C168="Return In"),D168,-D168))</f>
        <v/>
      </c>
    </row>
    <row r="169">
      <c r="A169" s="72" t="n"/>
      <c r="B169" s="57" t="n"/>
      <c r="C169" s="57" t="n"/>
      <c r="D169" s="73" t="n"/>
      <c r="E169" s="57" t="n"/>
      <c r="F169" s="57" t="n"/>
      <c r="G169" s="57" t="n"/>
      <c r="H169" s="74">
        <f>IF(C169="","",IF(OR(C169="Received",C169="Transfer In",C169="Adjustment In",C169="Return In"),D169,-D169))</f>
        <v/>
      </c>
    </row>
    <row r="170">
      <c r="A170" s="72" t="n"/>
      <c r="B170" s="57" t="n"/>
      <c r="C170" s="57" t="n"/>
      <c r="D170" s="73" t="n"/>
      <c r="E170" s="57" t="n"/>
      <c r="F170" s="57" t="n"/>
      <c r="G170" s="57" t="n"/>
      <c r="H170" s="74">
        <f>IF(C170="","",IF(OR(C170="Received",C170="Transfer In",C170="Adjustment In",C170="Return In"),D170,-D170))</f>
        <v/>
      </c>
    </row>
    <row r="171">
      <c r="A171" s="72" t="n"/>
      <c r="B171" s="57" t="n"/>
      <c r="C171" s="57" t="n"/>
      <c r="D171" s="73" t="n"/>
      <c r="E171" s="57" t="n"/>
      <c r="F171" s="57" t="n"/>
      <c r="G171" s="57" t="n"/>
      <c r="H171" s="74">
        <f>IF(C171="","",IF(OR(C171="Received",C171="Transfer In",C171="Adjustment In",C171="Return In"),D171,-D171))</f>
        <v/>
      </c>
    </row>
    <row r="172">
      <c r="A172" s="72" t="n"/>
      <c r="B172" s="57" t="n"/>
      <c r="C172" s="57" t="n"/>
      <c r="D172" s="73" t="n"/>
      <c r="E172" s="57" t="n"/>
      <c r="F172" s="57" t="n"/>
      <c r="G172" s="57" t="n"/>
      <c r="H172" s="74">
        <f>IF(C172="","",IF(OR(C172="Received",C172="Transfer In",C172="Adjustment In",C172="Return In"),D172,-D172))</f>
        <v/>
      </c>
    </row>
    <row r="173">
      <c r="A173" s="72" t="n"/>
      <c r="B173" s="57" t="n"/>
      <c r="C173" s="57" t="n"/>
      <c r="D173" s="73" t="n"/>
      <c r="E173" s="57" t="n"/>
      <c r="F173" s="57" t="n"/>
      <c r="G173" s="57" t="n"/>
      <c r="H173" s="74">
        <f>IF(C173="","",IF(OR(C173="Received",C173="Transfer In",C173="Adjustment In",C173="Return In"),D173,-D173))</f>
        <v/>
      </c>
    </row>
    <row r="174">
      <c r="A174" s="72" t="n"/>
      <c r="B174" s="57" t="n"/>
      <c r="C174" s="57" t="n"/>
      <c r="D174" s="73" t="n"/>
      <c r="E174" s="57" t="n"/>
      <c r="F174" s="57" t="n"/>
      <c r="G174" s="57" t="n"/>
      <c r="H174" s="74">
        <f>IF(C174="","",IF(OR(C174="Received",C174="Transfer In",C174="Adjustment In",C174="Return In"),D174,-D174))</f>
        <v/>
      </c>
    </row>
    <row r="175">
      <c r="A175" s="72" t="n"/>
      <c r="B175" s="57" t="n"/>
      <c r="C175" s="57" t="n"/>
      <c r="D175" s="73" t="n"/>
      <c r="E175" s="57" t="n"/>
      <c r="F175" s="57" t="n"/>
      <c r="G175" s="57" t="n"/>
      <c r="H175" s="74">
        <f>IF(C175="","",IF(OR(C175="Received",C175="Transfer In",C175="Adjustment In",C175="Return In"),D175,-D175))</f>
        <v/>
      </c>
    </row>
    <row r="176">
      <c r="A176" s="72" t="n"/>
      <c r="B176" s="57" t="n"/>
      <c r="C176" s="57" t="n"/>
      <c r="D176" s="73" t="n"/>
      <c r="E176" s="57" t="n"/>
      <c r="F176" s="57" t="n"/>
      <c r="G176" s="57" t="n"/>
      <c r="H176" s="74">
        <f>IF(C176="","",IF(OR(C176="Received",C176="Transfer In",C176="Adjustment In",C176="Return In"),D176,-D176))</f>
        <v/>
      </c>
    </row>
    <row r="177">
      <c r="A177" s="72" t="n"/>
      <c r="B177" s="57" t="n"/>
      <c r="C177" s="57" t="n"/>
      <c r="D177" s="73" t="n"/>
      <c r="E177" s="57" t="n"/>
      <c r="F177" s="57" t="n"/>
      <c r="G177" s="57" t="n"/>
      <c r="H177" s="74">
        <f>IF(C177="","",IF(OR(C177="Received",C177="Transfer In",C177="Adjustment In",C177="Return In"),D177,-D177))</f>
        <v/>
      </c>
    </row>
    <row r="178">
      <c r="A178" s="72" t="n"/>
      <c r="B178" s="57" t="n"/>
      <c r="C178" s="57" t="n"/>
      <c r="D178" s="73" t="n"/>
      <c r="E178" s="57" t="n"/>
      <c r="F178" s="57" t="n"/>
      <c r="G178" s="57" t="n"/>
      <c r="H178" s="74">
        <f>IF(C178="","",IF(OR(C178="Received",C178="Transfer In",C178="Adjustment In",C178="Return In"),D178,-D178))</f>
        <v/>
      </c>
    </row>
    <row r="179">
      <c r="A179" s="72" t="n"/>
      <c r="B179" s="57" t="n"/>
      <c r="C179" s="57" t="n"/>
      <c r="D179" s="73" t="n"/>
      <c r="E179" s="57" t="n"/>
      <c r="F179" s="57" t="n"/>
      <c r="G179" s="57" t="n"/>
      <c r="H179" s="74">
        <f>IF(C179="","",IF(OR(C179="Received",C179="Transfer In",C179="Adjustment In",C179="Return In"),D179,-D179))</f>
        <v/>
      </c>
    </row>
    <row r="180">
      <c r="A180" s="72" t="n"/>
      <c r="B180" s="57" t="n"/>
      <c r="C180" s="57" t="n"/>
      <c r="D180" s="73" t="n"/>
      <c r="E180" s="57" t="n"/>
      <c r="F180" s="57" t="n"/>
      <c r="G180" s="57" t="n"/>
      <c r="H180" s="74">
        <f>IF(C180="","",IF(OR(C180="Received",C180="Transfer In",C180="Adjustment In",C180="Return In"),D180,-D180))</f>
        <v/>
      </c>
    </row>
    <row r="181">
      <c r="A181" s="72" t="n"/>
      <c r="B181" s="57" t="n"/>
      <c r="C181" s="57" t="n"/>
      <c r="D181" s="73" t="n"/>
      <c r="E181" s="57" t="n"/>
      <c r="F181" s="57" t="n"/>
      <c r="G181" s="57" t="n"/>
      <c r="H181" s="74">
        <f>IF(C181="","",IF(OR(C181="Received",C181="Transfer In",C181="Adjustment In",C181="Return In"),D181,-D181))</f>
        <v/>
      </c>
    </row>
    <row r="182">
      <c r="A182" s="72" t="n"/>
      <c r="B182" s="57" t="n"/>
      <c r="C182" s="57" t="n"/>
      <c r="D182" s="73" t="n"/>
      <c r="E182" s="57" t="n"/>
      <c r="F182" s="57" t="n"/>
      <c r="G182" s="57" t="n"/>
      <c r="H182" s="74">
        <f>IF(C182="","",IF(OR(C182="Received",C182="Transfer In",C182="Adjustment In",C182="Return In"),D182,-D182))</f>
        <v/>
      </c>
    </row>
    <row r="183">
      <c r="A183" s="72" t="n"/>
      <c r="B183" s="57" t="n"/>
      <c r="C183" s="57" t="n"/>
      <c r="D183" s="73" t="n"/>
      <c r="E183" s="57" t="n"/>
      <c r="F183" s="57" t="n"/>
      <c r="G183" s="57" t="n"/>
      <c r="H183" s="74">
        <f>IF(C183="","",IF(OR(C183="Received",C183="Transfer In",C183="Adjustment In",C183="Return In"),D183,-D183))</f>
        <v/>
      </c>
    </row>
    <row r="184">
      <c r="A184" s="72" t="n"/>
      <c r="B184" s="57" t="n"/>
      <c r="C184" s="57" t="n"/>
      <c r="D184" s="73" t="n"/>
      <c r="E184" s="57" t="n"/>
      <c r="F184" s="57" t="n"/>
      <c r="G184" s="57" t="n"/>
      <c r="H184" s="74">
        <f>IF(C184="","",IF(OR(C184="Received",C184="Transfer In",C184="Adjustment In",C184="Return In"),D184,-D184))</f>
        <v/>
      </c>
    </row>
    <row r="185">
      <c r="A185" s="72" t="n"/>
      <c r="B185" s="57" t="n"/>
      <c r="C185" s="57" t="n"/>
      <c r="D185" s="73" t="n"/>
      <c r="E185" s="57" t="n"/>
      <c r="F185" s="57" t="n"/>
      <c r="G185" s="57" t="n"/>
      <c r="H185" s="74">
        <f>IF(C185="","",IF(OR(C185="Received",C185="Transfer In",C185="Adjustment In",C185="Return In"),D185,-D185))</f>
        <v/>
      </c>
    </row>
    <row r="186">
      <c r="A186" s="72" t="n"/>
      <c r="B186" s="57" t="n"/>
      <c r="C186" s="57" t="n"/>
      <c r="D186" s="73" t="n"/>
      <c r="E186" s="57" t="n"/>
      <c r="F186" s="57" t="n"/>
      <c r="G186" s="57" t="n"/>
      <c r="H186" s="74">
        <f>IF(C186="","",IF(OR(C186="Received",C186="Transfer In",C186="Adjustment In",C186="Return In"),D186,-D186))</f>
        <v/>
      </c>
    </row>
    <row r="187">
      <c r="A187" s="72" t="n"/>
      <c r="B187" s="57" t="n"/>
      <c r="C187" s="57" t="n"/>
      <c r="D187" s="73" t="n"/>
      <c r="E187" s="57" t="n"/>
      <c r="F187" s="57" t="n"/>
      <c r="G187" s="57" t="n"/>
      <c r="H187" s="74">
        <f>IF(C187="","",IF(OR(C187="Received",C187="Transfer In",C187="Adjustment In",C187="Return In"),D187,-D187))</f>
        <v/>
      </c>
    </row>
    <row r="188">
      <c r="A188" s="72" t="n"/>
      <c r="B188" s="57" t="n"/>
      <c r="C188" s="57" t="n"/>
      <c r="D188" s="73" t="n"/>
      <c r="E188" s="57" t="n"/>
      <c r="F188" s="57" t="n"/>
      <c r="G188" s="57" t="n"/>
      <c r="H188" s="74">
        <f>IF(C188="","",IF(OR(C188="Received",C188="Transfer In",C188="Adjustment In",C188="Return In"),D188,-D188))</f>
        <v/>
      </c>
    </row>
    <row r="189">
      <c r="A189" s="72" t="n"/>
      <c r="B189" s="57" t="n"/>
      <c r="C189" s="57" t="n"/>
      <c r="D189" s="73" t="n"/>
      <c r="E189" s="57" t="n"/>
      <c r="F189" s="57" t="n"/>
      <c r="G189" s="57" t="n"/>
      <c r="H189" s="74">
        <f>IF(C189="","",IF(OR(C189="Received",C189="Transfer In",C189="Adjustment In",C189="Return In"),D189,-D189))</f>
        <v/>
      </c>
    </row>
    <row r="190">
      <c r="A190" s="72" t="n"/>
      <c r="B190" s="57" t="n"/>
      <c r="C190" s="57" t="n"/>
      <c r="D190" s="73" t="n"/>
      <c r="E190" s="57" t="n"/>
      <c r="F190" s="57" t="n"/>
      <c r="G190" s="57" t="n"/>
      <c r="H190" s="74">
        <f>IF(C190="","",IF(OR(C190="Received",C190="Transfer In",C190="Adjustment In",C190="Return In"),D190,-D190))</f>
        <v/>
      </c>
    </row>
    <row r="191">
      <c r="A191" s="72" t="n"/>
      <c r="B191" s="57" t="n"/>
      <c r="C191" s="57" t="n"/>
      <c r="D191" s="73" t="n"/>
      <c r="E191" s="57" t="n"/>
      <c r="F191" s="57" t="n"/>
      <c r="G191" s="57" t="n"/>
      <c r="H191" s="74">
        <f>IF(C191="","",IF(OR(C191="Received",C191="Transfer In",C191="Adjustment In",C191="Return In"),D191,-D191))</f>
        <v/>
      </c>
    </row>
    <row r="192">
      <c r="A192" s="72" t="n"/>
      <c r="B192" s="57" t="n"/>
      <c r="C192" s="57" t="n"/>
      <c r="D192" s="73" t="n"/>
      <c r="E192" s="57" t="n"/>
      <c r="F192" s="57" t="n"/>
      <c r="G192" s="57" t="n"/>
      <c r="H192" s="74">
        <f>IF(C192="","",IF(OR(C192="Received",C192="Transfer In",C192="Adjustment In",C192="Return In"),D192,-D192))</f>
        <v/>
      </c>
    </row>
    <row r="193">
      <c r="A193" s="72" t="n"/>
      <c r="B193" s="57" t="n"/>
      <c r="C193" s="57" t="n"/>
      <c r="D193" s="73" t="n"/>
      <c r="E193" s="57" t="n"/>
      <c r="F193" s="57" t="n"/>
      <c r="G193" s="57" t="n"/>
      <c r="H193" s="74">
        <f>IF(C193="","",IF(OR(C193="Received",C193="Transfer In",C193="Adjustment In",C193="Return In"),D193,-D193))</f>
        <v/>
      </c>
    </row>
    <row r="194">
      <c r="A194" s="72" t="n"/>
      <c r="B194" s="57" t="n"/>
      <c r="C194" s="57" t="n"/>
      <c r="D194" s="73" t="n"/>
      <c r="E194" s="57" t="n"/>
      <c r="F194" s="57" t="n"/>
      <c r="G194" s="57" t="n"/>
      <c r="H194" s="74">
        <f>IF(C194="","",IF(OR(C194="Received",C194="Transfer In",C194="Adjustment In",C194="Return In"),D194,-D194))</f>
        <v/>
      </c>
    </row>
    <row r="195">
      <c r="A195" s="72" t="n"/>
      <c r="B195" s="57" t="n"/>
      <c r="C195" s="57" t="n"/>
      <c r="D195" s="73" t="n"/>
      <c r="E195" s="57" t="n"/>
      <c r="F195" s="57" t="n"/>
      <c r="G195" s="57" t="n"/>
      <c r="H195" s="74">
        <f>IF(C195="","",IF(OR(C195="Received",C195="Transfer In",C195="Adjustment In",C195="Return In"),D195,-D195))</f>
        <v/>
      </c>
    </row>
    <row r="196">
      <c r="A196" s="72" t="n"/>
      <c r="B196" s="57" t="n"/>
      <c r="C196" s="57" t="n"/>
      <c r="D196" s="73" t="n"/>
      <c r="E196" s="57" t="n"/>
      <c r="F196" s="57" t="n"/>
      <c r="G196" s="57" t="n"/>
      <c r="H196" s="74">
        <f>IF(C196="","",IF(OR(C196="Received",C196="Transfer In",C196="Adjustment In",C196="Return In"),D196,-D196))</f>
        <v/>
      </c>
    </row>
    <row r="197">
      <c r="A197" s="72" t="n"/>
      <c r="B197" s="57" t="n"/>
      <c r="C197" s="57" t="n"/>
      <c r="D197" s="73" t="n"/>
      <c r="E197" s="57" t="n"/>
      <c r="F197" s="57" t="n"/>
      <c r="G197" s="57" t="n"/>
      <c r="H197" s="74">
        <f>IF(C197="","",IF(OR(C197="Received",C197="Transfer In",C197="Adjustment In",C197="Return In"),D197,-D197))</f>
        <v/>
      </c>
    </row>
    <row r="198">
      <c r="A198" s="72" t="n"/>
      <c r="B198" s="57" t="n"/>
      <c r="C198" s="57" t="n"/>
      <c r="D198" s="73" t="n"/>
      <c r="E198" s="57" t="n"/>
      <c r="F198" s="57" t="n"/>
      <c r="G198" s="57" t="n"/>
      <c r="H198" s="74">
        <f>IF(C198="","",IF(OR(C198="Received",C198="Transfer In",C198="Adjustment In",C198="Return In"),D198,-D198))</f>
        <v/>
      </c>
    </row>
    <row r="199">
      <c r="A199" s="72" t="n"/>
      <c r="B199" s="57" t="n"/>
      <c r="C199" s="57" t="n"/>
      <c r="D199" s="73" t="n"/>
      <c r="E199" s="57" t="n"/>
      <c r="F199" s="57" t="n"/>
      <c r="G199" s="57" t="n"/>
      <c r="H199" s="74">
        <f>IF(C199="","",IF(OR(C199="Received",C199="Transfer In",C199="Adjustment In",C199="Return In"),D199,-D199))</f>
        <v/>
      </c>
    </row>
    <row r="200">
      <c r="A200" s="72" t="n"/>
      <c r="B200" s="57" t="n"/>
      <c r="C200" s="57" t="n"/>
      <c r="D200" s="73" t="n"/>
      <c r="E200" s="57" t="n"/>
      <c r="F200" s="57" t="n"/>
      <c r="G200" s="57" t="n"/>
      <c r="H200" s="74">
        <f>IF(C200="","",IF(OR(C200="Received",C200="Transfer In",C200="Adjustment In",C200="Return In"),D200,-D200))</f>
        <v/>
      </c>
    </row>
    <row r="201">
      <c r="A201" s="72" t="n"/>
      <c r="B201" s="57" t="n"/>
      <c r="C201" s="57" t="n"/>
      <c r="D201" s="73" t="n"/>
      <c r="E201" s="57" t="n"/>
      <c r="F201" s="57" t="n"/>
      <c r="G201" s="57" t="n"/>
      <c r="H201" s="74">
        <f>IF(C201="","",IF(OR(C201="Received",C201="Transfer In",C201="Adjustment In",C201="Return In"),D201,-D201))</f>
        <v/>
      </c>
    </row>
    <row r="202">
      <c r="A202" s="72" t="n"/>
      <c r="B202" s="57" t="n"/>
      <c r="C202" s="57" t="n"/>
      <c r="D202" s="73" t="n"/>
      <c r="E202" s="57" t="n"/>
      <c r="F202" s="57" t="n"/>
      <c r="G202" s="57" t="n"/>
      <c r="H202" s="74">
        <f>IF(C202="","",IF(OR(C202="Received",C202="Transfer In",C202="Adjustment In",C202="Return In"),D202,-D202))</f>
        <v/>
      </c>
    </row>
    <row r="203">
      <c r="A203" s="72" t="n"/>
      <c r="B203" s="57" t="n"/>
      <c r="C203" s="57" t="n"/>
      <c r="D203" s="73" t="n"/>
      <c r="E203" s="57" t="n"/>
      <c r="F203" s="57" t="n"/>
      <c r="G203" s="57" t="n"/>
      <c r="H203" s="74">
        <f>IF(C203="","",IF(OR(C203="Received",C203="Transfer In",C203="Adjustment In",C203="Return In"),D203,-D203))</f>
        <v/>
      </c>
    </row>
    <row r="204">
      <c r="A204" s="72" t="n"/>
      <c r="B204" s="57" t="n"/>
      <c r="C204" s="57" t="n"/>
      <c r="D204" s="73" t="n"/>
      <c r="E204" s="57" t="n"/>
      <c r="F204" s="57" t="n"/>
      <c r="G204" s="57" t="n"/>
      <c r="H204" s="74">
        <f>IF(C204="","",IF(OR(C204="Received",C204="Transfer In",C204="Adjustment In",C204="Return In"),D204,-D204))</f>
        <v/>
      </c>
    </row>
    <row r="205">
      <c r="A205" s="72" t="n"/>
      <c r="B205" s="57" t="n"/>
      <c r="C205" s="57" t="n"/>
      <c r="D205" s="73" t="n"/>
      <c r="E205" s="57" t="n"/>
      <c r="F205" s="57" t="n"/>
      <c r="G205" s="57" t="n"/>
      <c r="H205" s="74">
        <f>IF(C205="","",IF(OR(C205="Received",C205="Transfer In",C205="Adjustment In",C205="Return In"),D205,-D205))</f>
        <v/>
      </c>
    </row>
    <row r="206">
      <c r="A206" s="72" t="n"/>
      <c r="B206" s="57" t="n"/>
      <c r="C206" s="57" t="n"/>
      <c r="D206" s="73" t="n"/>
      <c r="E206" s="57" t="n"/>
      <c r="F206" s="57" t="n"/>
      <c r="G206" s="57" t="n"/>
      <c r="H206" s="74">
        <f>IF(C206="","",IF(OR(C206="Received",C206="Transfer In",C206="Adjustment In",C206="Return In"),D206,-D206))</f>
        <v/>
      </c>
    </row>
    <row r="207">
      <c r="A207" s="72" t="n"/>
      <c r="B207" s="57" t="n"/>
      <c r="C207" s="57" t="n"/>
      <c r="D207" s="73" t="n"/>
      <c r="E207" s="57" t="n"/>
      <c r="F207" s="57" t="n"/>
      <c r="G207" s="57" t="n"/>
      <c r="H207" s="74">
        <f>IF(C207="","",IF(OR(C207="Received",C207="Transfer In",C207="Adjustment In",C207="Return In"),D207,-D207))</f>
        <v/>
      </c>
    </row>
    <row r="208">
      <c r="A208" s="72" t="n"/>
      <c r="B208" s="57" t="n"/>
      <c r="C208" s="57" t="n"/>
      <c r="D208" s="73" t="n"/>
      <c r="E208" s="57" t="n"/>
      <c r="F208" s="57" t="n"/>
      <c r="G208" s="57" t="n"/>
      <c r="H208" s="74">
        <f>IF(C208="","",IF(OR(C208="Received",C208="Transfer In",C208="Adjustment In",C208="Return In"),D208,-D208))</f>
        <v/>
      </c>
    </row>
    <row r="209">
      <c r="A209" s="72" t="n"/>
      <c r="B209" s="57" t="n"/>
      <c r="C209" s="57" t="n"/>
      <c r="D209" s="73" t="n"/>
      <c r="E209" s="57" t="n"/>
      <c r="F209" s="57" t="n"/>
      <c r="G209" s="57" t="n"/>
      <c r="H209" s="74">
        <f>IF(C209="","",IF(OR(C209="Received",C209="Transfer In",C209="Adjustment In",C209="Return In"),D209,-D209))</f>
        <v/>
      </c>
    </row>
    <row r="210">
      <c r="A210" s="72" t="n"/>
      <c r="B210" s="57" t="n"/>
      <c r="C210" s="57" t="n"/>
      <c r="D210" s="73" t="n"/>
      <c r="E210" s="57" t="n"/>
      <c r="F210" s="57" t="n"/>
      <c r="G210" s="57" t="n"/>
      <c r="H210" s="74">
        <f>IF(C210="","",IF(OR(C210="Received",C210="Transfer In",C210="Adjustment In",C210="Return In"),D210,-D210))</f>
        <v/>
      </c>
    </row>
    <row r="211">
      <c r="A211" s="72" t="n"/>
      <c r="B211" s="57" t="n"/>
      <c r="C211" s="57" t="n"/>
      <c r="D211" s="73" t="n"/>
      <c r="E211" s="57" t="n"/>
      <c r="F211" s="57" t="n"/>
      <c r="G211" s="57" t="n"/>
      <c r="H211" s="74">
        <f>IF(C211="","",IF(OR(C211="Received",C211="Transfer In",C211="Adjustment In",C211="Return In"),D211,-D211))</f>
        <v/>
      </c>
    </row>
    <row r="212">
      <c r="A212" s="72" t="n"/>
      <c r="B212" s="57" t="n"/>
      <c r="C212" s="57" t="n"/>
      <c r="D212" s="73" t="n"/>
      <c r="E212" s="57" t="n"/>
      <c r="F212" s="57" t="n"/>
      <c r="G212" s="57" t="n"/>
      <c r="H212" s="74">
        <f>IF(C212="","",IF(OR(C212="Received",C212="Transfer In",C212="Adjustment In",C212="Return In"),D212,-D212))</f>
        <v/>
      </c>
    </row>
    <row r="213">
      <c r="A213" s="72" t="n"/>
      <c r="B213" s="57" t="n"/>
      <c r="C213" s="57" t="n"/>
      <c r="D213" s="73" t="n"/>
      <c r="E213" s="57" t="n"/>
      <c r="F213" s="57" t="n"/>
      <c r="G213" s="57" t="n"/>
      <c r="H213" s="74">
        <f>IF(C213="","",IF(OR(C213="Received",C213="Transfer In",C213="Adjustment In",C213="Return In"),D213,-D213))</f>
        <v/>
      </c>
    </row>
    <row r="214">
      <c r="A214" s="72" t="n"/>
      <c r="B214" s="57" t="n"/>
      <c r="C214" s="57" t="n"/>
      <c r="D214" s="73" t="n"/>
      <c r="E214" s="57" t="n"/>
      <c r="F214" s="57" t="n"/>
      <c r="G214" s="57" t="n"/>
      <c r="H214" s="74">
        <f>IF(C214="","",IF(OR(C214="Received",C214="Transfer In",C214="Adjustment In",C214="Return In"),D214,-D214))</f>
        <v/>
      </c>
    </row>
    <row r="215">
      <c r="A215" s="72" t="n"/>
      <c r="B215" s="57" t="n"/>
      <c r="C215" s="57" t="n"/>
      <c r="D215" s="73" t="n"/>
      <c r="E215" s="57" t="n"/>
      <c r="F215" s="57" t="n"/>
      <c r="G215" s="57" t="n"/>
      <c r="H215" s="74">
        <f>IF(C215="","",IF(OR(C215="Received",C215="Transfer In",C215="Adjustment In",C215="Return In"),D215,-D215))</f>
        <v/>
      </c>
    </row>
    <row r="216">
      <c r="A216" s="72" t="n"/>
      <c r="B216" s="57" t="n"/>
      <c r="C216" s="57" t="n"/>
      <c r="D216" s="73" t="n"/>
      <c r="E216" s="57" t="n"/>
      <c r="F216" s="57" t="n"/>
      <c r="G216" s="57" t="n"/>
      <c r="H216" s="74">
        <f>IF(C216="","",IF(OR(C216="Received",C216="Transfer In",C216="Adjustment In",C216="Return In"),D216,-D216))</f>
        <v/>
      </c>
    </row>
    <row r="217">
      <c r="A217" s="72" t="n"/>
      <c r="B217" s="57" t="n"/>
      <c r="C217" s="57" t="n"/>
      <c r="D217" s="73" t="n"/>
      <c r="E217" s="57" t="n"/>
      <c r="F217" s="57" t="n"/>
      <c r="G217" s="57" t="n"/>
      <c r="H217" s="74">
        <f>IF(C217="","",IF(OR(C217="Received",C217="Transfer In",C217="Adjustment In",C217="Return In"),D217,-D217))</f>
        <v/>
      </c>
    </row>
    <row r="218">
      <c r="A218" s="72" t="n"/>
      <c r="B218" s="57" t="n"/>
      <c r="C218" s="57" t="n"/>
      <c r="D218" s="73" t="n"/>
      <c r="E218" s="57" t="n"/>
      <c r="F218" s="57" t="n"/>
      <c r="G218" s="57" t="n"/>
      <c r="H218" s="74">
        <f>IF(C218="","",IF(OR(C218="Received",C218="Transfer In",C218="Adjustment In",C218="Return In"),D218,-D218))</f>
        <v/>
      </c>
    </row>
    <row r="219">
      <c r="A219" s="72" t="n"/>
      <c r="B219" s="57" t="n"/>
      <c r="C219" s="57" t="n"/>
      <c r="D219" s="73" t="n"/>
      <c r="E219" s="57" t="n"/>
      <c r="F219" s="57" t="n"/>
      <c r="G219" s="57" t="n"/>
      <c r="H219" s="74">
        <f>IF(C219="","",IF(OR(C219="Received",C219="Transfer In",C219="Adjustment In",C219="Return In"),D219,-D219))</f>
        <v/>
      </c>
    </row>
    <row r="220">
      <c r="A220" s="72" t="n"/>
      <c r="B220" s="57" t="n"/>
      <c r="C220" s="57" t="n"/>
      <c r="D220" s="73" t="n"/>
      <c r="E220" s="57" t="n"/>
      <c r="F220" s="57" t="n"/>
      <c r="G220" s="57" t="n"/>
      <c r="H220" s="74">
        <f>IF(C220="","",IF(OR(C220="Received",C220="Transfer In",C220="Adjustment In",C220="Return In"),D220,-D220))</f>
        <v/>
      </c>
    </row>
    <row r="221">
      <c r="A221" s="72" t="n"/>
      <c r="B221" s="57" t="n"/>
      <c r="C221" s="57" t="n"/>
      <c r="D221" s="73" t="n"/>
      <c r="E221" s="57" t="n"/>
      <c r="F221" s="57" t="n"/>
      <c r="G221" s="57" t="n"/>
      <c r="H221" s="74">
        <f>IF(C221="","",IF(OR(C221="Received",C221="Transfer In",C221="Adjustment In",C221="Return In"),D221,-D221))</f>
        <v/>
      </c>
    </row>
    <row r="222">
      <c r="A222" s="72" t="n"/>
      <c r="B222" s="57" t="n"/>
      <c r="C222" s="57" t="n"/>
      <c r="D222" s="73" t="n"/>
      <c r="E222" s="57" t="n"/>
      <c r="F222" s="57" t="n"/>
      <c r="G222" s="57" t="n"/>
      <c r="H222" s="74">
        <f>IF(C222="","",IF(OR(C222="Received",C222="Transfer In",C222="Adjustment In",C222="Return In"),D222,-D222))</f>
        <v/>
      </c>
    </row>
    <row r="223">
      <c r="A223" s="72" t="n"/>
      <c r="B223" s="57" t="n"/>
      <c r="C223" s="57" t="n"/>
      <c r="D223" s="73" t="n"/>
      <c r="E223" s="57" t="n"/>
      <c r="F223" s="57" t="n"/>
      <c r="G223" s="57" t="n"/>
      <c r="H223" s="74">
        <f>IF(C223="","",IF(OR(C223="Received",C223="Transfer In",C223="Adjustment In",C223="Return In"),D223,-D223))</f>
        <v/>
      </c>
    </row>
    <row r="224">
      <c r="A224" s="72" t="n"/>
      <c r="B224" s="57" t="n"/>
      <c r="C224" s="57" t="n"/>
      <c r="D224" s="73" t="n"/>
      <c r="E224" s="57" t="n"/>
      <c r="F224" s="57" t="n"/>
      <c r="G224" s="57" t="n"/>
      <c r="H224" s="74">
        <f>IF(C224="","",IF(OR(C224="Received",C224="Transfer In",C224="Adjustment In",C224="Return In"),D224,-D224))</f>
        <v/>
      </c>
    </row>
    <row r="225">
      <c r="A225" s="72" t="n"/>
      <c r="B225" s="57" t="n"/>
      <c r="C225" s="57" t="n"/>
      <c r="D225" s="73" t="n"/>
      <c r="E225" s="57" t="n"/>
      <c r="F225" s="57" t="n"/>
      <c r="G225" s="57" t="n"/>
      <c r="H225" s="74">
        <f>IF(C225="","",IF(OR(C225="Received",C225="Transfer In",C225="Adjustment In",C225="Return In"),D225,-D225))</f>
        <v/>
      </c>
    </row>
    <row r="226">
      <c r="A226" s="72" t="n"/>
      <c r="B226" s="57" t="n"/>
      <c r="C226" s="57" t="n"/>
      <c r="D226" s="73" t="n"/>
      <c r="E226" s="57" t="n"/>
      <c r="F226" s="57" t="n"/>
      <c r="G226" s="57" t="n"/>
      <c r="H226" s="74">
        <f>IF(C226="","",IF(OR(C226="Received",C226="Transfer In",C226="Adjustment In",C226="Return In"),D226,-D226))</f>
        <v/>
      </c>
    </row>
    <row r="227">
      <c r="A227" s="72" t="n"/>
      <c r="B227" s="57" t="n"/>
      <c r="C227" s="57" t="n"/>
      <c r="D227" s="73" t="n"/>
      <c r="E227" s="57" t="n"/>
      <c r="F227" s="57" t="n"/>
      <c r="G227" s="57" t="n"/>
      <c r="H227" s="74">
        <f>IF(C227="","",IF(OR(C227="Received",C227="Transfer In",C227="Adjustment In",C227="Return In"),D227,-D227))</f>
        <v/>
      </c>
    </row>
    <row r="228">
      <c r="A228" s="72" t="n"/>
      <c r="B228" s="57" t="n"/>
      <c r="C228" s="57" t="n"/>
      <c r="D228" s="73" t="n"/>
      <c r="E228" s="57" t="n"/>
      <c r="F228" s="57" t="n"/>
      <c r="G228" s="57" t="n"/>
      <c r="H228" s="74">
        <f>IF(C228="","",IF(OR(C228="Received",C228="Transfer In",C228="Adjustment In",C228="Return In"),D228,-D228))</f>
        <v/>
      </c>
    </row>
    <row r="229">
      <c r="A229" s="72" t="n"/>
      <c r="B229" s="57" t="n"/>
      <c r="C229" s="57" t="n"/>
      <c r="D229" s="73" t="n"/>
      <c r="E229" s="57" t="n"/>
      <c r="F229" s="57" t="n"/>
      <c r="G229" s="57" t="n"/>
      <c r="H229" s="74">
        <f>IF(C229="","",IF(OR(C229="Received",C229="Transfer In",C229="Adjustment In",C229="Return In"),D229,-D229))</f>
        <v/>
      </c>
    </row>
    <row r="230">
      <c r="A230" s="72" t="n"/>
      <c r="B230" s="57" t="n"/>
      <c r="C230" s="57" t="n"/>
      <c r="D230" s="73" t="n"/>
      <c r="E230" s="57" t="n"/>
      <c r="F230" s="57" t="n"/>
      <c r="G230" s="57" t="n"/>
      <c r="H230" s="74">
        <f>IF(C230="","",IF(OR(C230="Received",C230="Transfer In",C230="Adjustment In",C230="Return In"),D230,-D230))</f>
        <v/>
      </c>
    </row>
    <row r="231">
      <c r="A231" s="72" t="n"/>
      <c r="B231" s="57" t="n"/>
      <c r="C231" s="57" t="n"/>
      <c r="D231" s="73" t="n"/>
      <c r="E231" s="57" t="n"/>
      <c r="F231" s="57" t="n"/>
      <c r="G231" s="57" t="n"/>
      <c r="H231" s="74">
        <f>IF(C231="","",IF(OR(C231="Received",C231="Transfer In",C231="Adjustment In",C231="Return In"),D231,-D231))</f>
        <v/>
      </c>
    </row>
    <row r="232">
      <c r="A232" s="72" t="n"/>
      <c r="B232" s="57" t="n"/>
      <c r="C232" s="57" t="n"/>
      <c r="D232" s="73" t="n"/>
      <c r="E232" s="57" t="n"/>
      <c r="F232" s="57" t="n"/>
      <c r="G232" s="57" t="n"/>
      <c r="H232" s="74">
        <f>IF(C232="","",IF(OR(C232="Received",C232="Transfer In",C232="Adjustment In",C232="Return In"),D232,-D232))</f>
        <v/>
      </c>
    </row>
    <row r="233">
      <c r="A233" s="72" t="n"/>
      <c r="B233" s="57" t="n"/>
      <c r="C233" s="57" t="n"/>
      <c r="D233" s="73" t="n"/>
      <c r="E233" s="57" t="n"/>
      <c r="F233" s="57" t="n"/>
      <c r="G233" s="57" t="n"/>
      <c r="H233" s="74">
        <f>IF(C233="","",IF(OR(C233="Received",C233="Transfer In",C233="Adjustment In",C233="Return In"),D233,-D233))</f>
        <v/>
      </c>
    </row>
    <row r="234">
      <c r="A234" s="72" t="n"/>
      <c r="B234" s="57" t="n"/>
      <c r="C234" s="57" t="n"/>
      <c r="D234" s="73" t="n"/>
      <c r="E234" s="57" t="n"/>
      <c r="F234" s="57" t="n"/>
      <c r="G234" s="57" t="n"/>
      <c r="H234" s="74">
        <f>IF(C234="","",IF(OR(C234="Received",C234="Transfer In",C234="Adjustment In",C234="Return In"),D234,-D234))</f>
        <v/>
      </c>
    </row>
    <row r="235">
      <c r="A235" s="72" t="n"/>
      <c r="B235" s="57" t="n"/>
      <c r="C235" s="57" t="n"/>
      <c r="D235" s="73" t="n"/>
      <c r="E235" s="57" t="n"/>
      <c r="F235" s="57" t="n"/>
      <c r="G235" s="57" t="n"/>
      <c r="H235" s="74">
        <f>IF(C235="","",IF(OR(C235="Received",C235="Transfer In",C235="Adjustment In",C235="Return In"),D235,-D235))</f>
        <v/>
      </c>
    </row>
    <row r="236">
      <c r="A236" s="72" t="n"/>
      <c r="B236" s="57" t="n"/>
      <c r="C236" s="57" t="n"/>
      <c r="D236" s="73" t="n"/>
      <c r="E236" s="57" t="n"/>
      <c r="F236" s="57" t="n"/>
      <c r="G236" s="57" t="n"/>
      <c r="H236" s="74">
        <f>IF(C236="","",IF(OR(C236="Received",C236="Transfer In",C236="Adjustment In",C236="Return In"),D236,-D236))</f>
        <v/>
      </c>
    </row>
    <row r="237">
      <c r="A237" s="72" t="n"/>
      <c r="B237" s="57" t="n"/>
      <c r="C237" s="57" t="n"/>
      <c r="D237" s="73" t="n"/>
      <c r="E237" s="57" t="n"/>
      <c r="F237" s="57" t="n"/>
      <c r="G237" s="57" t="n"/>
      <c r="H237" s="74">
        <f>IF(C237="","",IF(OR(C237="Received",C237="Transfer In",C237="Adjustment In",C237="Return In"),D237,-D237))</f>
        <v/>
      </c>
    </row>
    <row r="238">
      <c r="A238" s="72" t="n"/>
      <c r="B238" s="57" t="n"/>
      <c r="C238" s="57" t="n"/>
      <c r="D238" s="73" t="n"/>
      <c r="E238" s="57" t="n"/>
      <c r="F238" s="57" t="n"/>
      <c r="G238" s="57" t="n"/>
      <c r="H238" s="74">
        <f>IF(C238="","",IF(OR(C238="Received",C238="Transfer In",C238="Adjustment In",C238="Return In"),D238,-D238))</f>
        <v/>
      </c>
    </row>
    <row r="239">
      <c r="A239" s="72" t="n"/>
      <c r="B239" s="57" t="n"/>
      <c r="C239" s="57" t="n"/>
      <c r="D239" s="73" t="n"/>
      <c r="E239" s="57" t="n"/>
      <c r="F239" s="57" t="n"/>
      <c r="G239" s="57" t="n"/>
      <c r="H239" s="74">
        <f>IF(C239="","",IF(OR(C239="Received",C239="Transfer In",C239="Adjustment In",C239="Return In"),D239,-D239))</f>
        <v/>
      </c>
    </row>
    <row r="240">
      <c r="A240" s="72" t="n"/>
      <c r="B240" s="57" t="n"/>
      <c r="C240" s="57" t="n"/>
      <c r="D240" s="73" t="n"/>
      <c r="E240" s="57" t="n"/>
      <c r="F240" s="57" t="n"/>
      <c r="G240" s="57" t="n"/>
      <c r="H240" s="74">
        <f>IF(C240="","",IF(OR(C240="Received",C240="Transfer In",C240="Adjustment In",C240="Return In"),D240,-D240))</f>
        <v/>
      </c>
    </row>
    <row r="241">
      <c r="A241" s="72" t="n"/>
      <c r="B241" s="57" t="n"/>
      <c r="C241" s="57" t="n"/>
      <c r="D241" s="73" t="n"/>
      <c r="E241" s="57" t="n"/>
      <c r="F241" s="57" t="n"/>
      <c r="G241" s="57" t="n"/>
      <c r="H241" s="74">
        <f>IF(C241="","",IF(OR(C241="Received",C241="Transfer In",C241="Adjustment In",C241="Return In"),D241,-D241))</f>
        <v/>
      </c>
    </row>
    <row r="242">
      <c r="A242" s="72" t="n"/>
      <c r="B242" s="57" t="n"/>
      <c r="C242" s="57" t="n"/>
      <c r="D242" s="73" t="n"/>
      <c r="E242" s="57" t="n"/>
      <c r="F242" s="57" t="n"/>
      <c r="G242" s="57" t="n"/>
      <c r="H242" s="74">
        <f>IF(C242="","",IF(OR(C242="Received",C242="Transfer In",C242="Adjustment In",C242="Return In"),D242,-D242))</f>
        <v/>
      </c>
    </row>
    <row r="243">
      <c r="A243" s="72" t="n"/>
      <c r="B243" s="57" t="n"/>
      <c r="C243" s="57" t="n"/>
      <c r="D243" s="73" t="n"/>
      <c r="E243" s="57" t="n"/>
      <c r="F243" s="57" t="n"/>
      <c r="G243" s="57" t="n"/>
      <c r="H243" s="74">
        <f>IF(C243="","",IF(OR(C243="Received",C243="Transfer In",C243="Adjustment In",C243="Return In"),D243,-D243))</f>
        <v/>
      </c>
    </row>
    <row r="244">
      <c r="A244" s="72" t="n"/>
      <c r="B244" s="57" t="n"/>
      <c r="C244" s="57" t="n"/>
      <c r="D244" s="73" t="n"/>
      <c r="E244" s="57" t="n"/>
      <c r="F244" s="57" t="n"/>
      <c r="G244" s="57" t="n"/>
      <c r="H244" s="74">
        <f>IF(C244="","",IF(OR(C244="Received",C244="Transfer In",C244="Adjustment In",C244="Return In"),D244,-D244))</f>
        <v/>
      </c>
    </row>
    <row r="245">
      <c r="A245" s="72" t="n"/>
      <c r="B245" s="57" t="n"/>
      <c r="C245" s="57" t="n"/>
      <c r="D245" s="73" t="n"/>
      <c r="E245" s="57" t="n"/>
      <c r="F245" s="57" t="n"/>
      <c r="G245" s="57" t="n"/>
      <c r="H245" s="74">
        <f>IF(C245="","",IF(OR(C245="Received",C245="Transfer In",C245="Adjustment In",C245="Return In"),D245,-D245))</f>
        <v/>
      </c>
    </row>
    <row r="246">
      <c r="A246" s="72" t="n"/>
      <c r="B246" s="57" t="n"/>
      <c r="C246" s="57" t="n"/>
      <c r="D246" s="73" t="n"/>
      <c r="E246" s="57" t="n"/>
      <c r="F246" s="57" t="n"/>
      <c r="G246" s="57" t="n"/>
      <c r="H246" s="74">
        <f>IF(C246="","",IF(OR(C246="Received",C246="Transfer In",C246="Adjustment In",C246="Return In"),D246,-D246))</f>
        <v/>
      </c>
    </row>
    <row r="247">
      <c r="A247" s="72" t="n"/>
      <c r="B247" s="57" t="n"/>
      <c r="C247" s="57" t="n"/>
      <c r="D247" s="73" t="n"/>
      <c r="E247" s="57" t="n"/>
      <c r="F247" s="57" t="n"/>
      <c r="G247" s="57" t="n"/>
      <c r="H247" s="74">
        <f>IF(C247="","",IF(OR(C247="Received",C247="Transfer In",C247="Adjustment In",C247="Return In"),D247,-D247))</f>
        <v/>
      </c>
    </row>
    <row r="248">
      <c r="A248" s="72" t="n"/>
      <c r="B248" s="57" t="n"/>
      <c r="C248" s="57" t="n"/>
      <c r="D248" s="73" t="n"/>
      <c r="E248" s="57" t="n"/>
      <c r="F248" s="57" t="n"/>
      <c r="G248" s="57" t="n"/>
      <c r="H248" s="74">
        <f>IF(C248="","",IF(OR(C248="Received",C248="Transfer In",C248="Adjustment In",C248="Return In"),D248,-D248))</f>
        <v/>
      </c>
    </row>
    <row r="249">
      <c r="A249" s="72" t="n"/>
      <c r="B249" s="57" t="n"/>
      <c r="C249" s="57" t="n"/>
      <c r="D249" s="73" t="n"/>
      <c r="E249" s="57" t="n"/>
      <c r="F249" s="57" t="n"/>
      <c r="G249" s="57" t="n"/>
      <c r="H249" s="74">
        <f>IF(C249="","",IF(OR(C249="Received",C249="Transfer In",C249="Adjustment In",C249="Return In"),D249,-D249))</f>
        <v/>
      </c>
    </row>
    <row r="250">
      <c r="A250" s="72" t="n"/>
      <c r="B250" s="57" t="n"/>
      <c r="C250" s="57" t="n"/>
      <c r="D250" s="73" t="n"/>
      <c r="E250" s="57" t="n"/>
      <c r="F250" s="57" t="n"/>
      <c r="G250" s="57" t="n"/>
      <c r="H250" s="74">
        <f>IF(C250="","",IF(OR(C250="Received",C250="Transfer In",C250="Adjustment In",C250="Return In"),D250,-D250))</f>
        <v/>
      </c>
    </row>
    <row r="251">
      <c r="A251" s="72" t="n"/>
      <c r="B251" s="57" t="n"/>
      <c r="C251" s="57" t="n"/>
      <c r="D251" s="73" t="n"/>
      <c r="E251" s="57" t="n"/>
      <c r="F251" s="57" t="n"/>
      <c r="G251" s="57" t="n"/>
      <c r="H251" s="74">
        <f>IF(C251="","",IF(OR(C251="Received",C251="Transfer In",C251="Adjustment In",C251="Return In"),D251,-D251))</f>
        <v/>
      </c>
    </row>
    <row r="252">
      <c r="A252" s="72" t="n"/>
      <c r="B252" s="57" t="n"/>
      <c r="C252" s="57" t="n"/>
      <c r="D252" s="73" t="n"/>
      <c r="E252" s="57" t="n"/>
      <c r="F252" s="57" t="n"/>
      <c r="G252" s="57" t="n"/>
      <c r="H252" s="74">
        <f>IF(C252="","",IF(OR(C252="Received",C252="Transfer In",C252="Adjustment In",C252="Return In"),D252,-D252))</f>
        <v/>
      </c>
    </row>
    <row r="253">
      <c r="A253" s="72" t="n"/>
      <c r="B253" s="57" t="n"/>
      <c r="C253" s="57" t="n"/>
      <c r="D253" s="73" t="n"/>
      <c r="E253" s="57" t="n"/>
      <c r="F253" s="57" t="n"/>
      <c r="G253" s="57" t="n"/>
      <c r="H253" s="74">
        <f>IF(C253="","",IF(OR(C253="Received",C253="Transfer In",C253="Adjustment In",C253="Return In"),D253,-D253))</f>
        <v/>
      </c>
    </row>
    <row r="254">
      <c r="A254" s="72" t="n"/>
      <c r="B254" s="57" t="n"/>
      <c r="C254" s="57" t="n"/>
      <c r="D254" s="73" t="n"/>
      <c r="E254" s="57" t="n"/>
      <c r="F254" s="57" t="n"/>
      <c r="G254" s="57" t="n"/>
      <c r="H254" s="74">
        <f>IF(C254="","",IF(OR(C254="Received",C254="Transfer In",C254="Adjustment In",C254="Return In"),D254,-D254))</f>
        <v/>
      </c>
    </row>
    <row r="255">
      <c r="A255" s="72" t="n"/>
      <c r="B255" s="57" t="n"/>
      <c r="C255" s="57" t="n"/>
      <c r="D255" s="73" t="n"/>
      <c r="E255" s="57" t="n"/>
      <c r="F255" s="57" t="n"/>
      <c r="G255" s="57" t="n"/>
      <c r="H255" s="74">
        <f>IF(C255="","",IF(OR(C255="Received",C255="Transfer In",C255="Adjustment In",C255="Return In"),D255,-D255))</f>
        <v/>
      </c>
    </row>
    <row r="256">
      <c r="A256" s="72" t="n"/>
      <c r="B256" s="57" t="n"/>
      <c r="C256" s="57" t="n"/>
      <c r="D256" s="73" t="n"/>
      <c r="E256" s="57" t="n"/>
      <c r="F256" s="57" t="n"/>
      <c r="G256" s="57" t="n"/>
      <c r="H256" s="74">
        <f>IF(C256="","",IF(OR(C256="Received",C256="Transfer In",C256="Adjustment In",C256="Return In"),D256,-D256))</f>
        <v/>
      </c>
    </row>
    <row r="257">
      <c r="A257" s="72" t="n"/>
      <c r="B257" s="57" t="n"/>
      <c r="C257" s="57" t="n"/>
      <c r="D257" s="73" t="n"/>
      <c r="E257" s="57" t="n"/>
      <c r="F257" s="57" t="n"/>
      <c r="G257" s="57" t="n"/>
      <c r="H257" s="74">
        <f>IF(C257="","",IF(OR(C257="Received",C257="Transfer In",C257="Adjustment In",C257="Return In"),D257,-D257))</f>
        <v/>
      </c>
    </row>
    <row r="258">
      <c r="A258" s="72" t="n"/>
      <c r="B258" s="57" t="n"/>
      <c r="C258" s="57" t="n"/>
      <c r="D258" s="73" t="n"/>
      <c r="E258" s="57" t="n"/>
      <c r="F258" s="57" t="n"/>
      <c r="G258" s="57" t="n"/>
      <c r="H258" s="74">
        <f>IF(C258="","",IF(OR(C258="Received",C258="Transfer In",C258="Adjustment In",C258="Return In"),D258,-D258))</f>
        <v/>
      </c>
    </row>
    <row r="259">
      <c r="A259" s="72" t="n"/>
      <c r="B259" s="57" t="n"/>
      <c r="C259" s="57" t="n"/>
      <c r="D259" s="73" t="n"/>
      <c r="E259" s="57" t="n"/>
      <c r="F259" s="57" t="n"/>
      <c r="G259" s="57" t="n"/>
      <c r="H259" s="74">
        <f>IF(C259="","",IF(OR(C259="Received",C259="Transfer In",C259="Adjustment In",C259="Return In"),D259,-D259))</f>
        <v/>
      </c>
    </row>
    <row r="260">
      <c r="A260" s="72" t="n"/>
      <c r="B260" s="57" t="n"/>
      <c r="C260" s="57" t="n"/>
      <c r="D260" s="73" t="n"/>
      <c r="E260" s="57" t="n"/>
      <c r="F260" s="57" t="n"/>
      <c r="G260" s="57" t="n"/>
      <c r="H260" s="74">
        <f>IF(C260="","",IF(OR(C260="Received",C260="Transfer In",C260="Adjustment In",C260="Return In"),D260,-D260))</f>
        <v/>
      </c>
    </row>
    <row r="261">
      <c r="A261" s="72" t="n"/>
      <c r="B261" s="57" t="n"/>
      <c r="C261" s="57" t="n"/>
      <c r="D261" s="73" t="n"/>
      <c r="E261" s="57" t="n"/>
      <c r="F261" s="57" t="n"/>
      <c r="G261" s="57" t="n"/>
      <c r="H261" s="74">
        <f>IF(C261="","",IF(OR(C261="Received",C261="Transfer In",C261="Adjustment In",C261="Return In"),D261,-D261))</f>
        <v/>
      </c>
    </row>
    <row r="262">
      <c r="A262" s="72" t="n"/>
      <c r="B262" s="57" t="n"/>
      <c r="C262" s="57" t="n"/>
      <c r="D262" s="73" t="n"/>
      <c r="E262" s="57" t="n"/>
      <c r="F262" s="57" t="n"/>
      <c r="G262" s="57" t="n"/>
      <c r="H262" s="74">
        <f>IF(C262="","",IF(OR(C262="Received",C262="Transfer In",C262="Adjustment In",C262="Return In"),D262,-D262))</f>
        <v/>
      </c>
    </row>
    <row r="263">
      <c r="A263" s="72" t="n"/>
      <c r="B263" s="57" t="n"/>
      <c r="C263" s="57" t="n"/>
      <c r="D263" s="73" t="n"/>
      <c r="E263" s="57" t="n"/>
      <c r="F263" s="57" t="n"/>
      <c r="G263" s="57" t="n"/>
      <c r="H263" s="74">
        <f>IF(C263="","",IF(OR(C263="Received",C263="Transfer In",C263="Adjustment In",C263="Return In"),D263,-D263))</f>
        <v/>
      </c>
    </row>
    <row r="264">
      <c r="A264" s="72" t="n"/>
      <c r="B264" s="57" t="n"/>
      <c r="C264" s="57" t="n"/>
      <c r="D264" s="73" t="n"/>
      <c r="E264" s="57" t="n"/>
      <c r="F264" s="57" t="n"/>
      <c r="G264" s="57" t="n"/>
      <c r="H264" s="74">
        <f>IF(C264="","",IF(OR(C264="Received",C264="Transfer In",C264="Adjustment In",C264="Return In"),D264,-D264))</f>
        <v/>
      </c>
    </row>
    <row r="265">
      <c r="A265" s="72" t="n"/>
      <c r="B265" s="57" t="n"/>
      <c r="C265" s="57" t="n"/>
      <c r="D265" s="73" t="n"/>
      <c r="E265" s="57" t="n"/>
      <c r="F265" s="57" t="n"/>
      <c r="G265" s="57" t="n"/>
      <c r="H265" s="74">
        <f>IF(C265="","",IF(OR(C265="Received",C265="Transfer In",C265="Adjustment In",C265="Return In"),D265,-D265))</f>
        <v/>
      </c>
    </row>
    <row r="266">
      <c r="A266" s="72" t="n"/>
      <c r="B266" s="57" t="n"/>
      <c r="C266" s="57" t="n"/>
      <c r="D266" s="73" t="n"/>
      <c r="E266" s="57" t="n"/>
      <c r="F266" s="57" t="n"/>
      <c r="G266" s="57" t="n"/>
      <c r="H266" s="74">
        <f>IF(C266="","",IF(OR(C266="Received",C266="Transfer In",C266="Adjustment In",C266="Return In"),D266,-D266))</f>
        <v/>
      </c>
    </row>
    <row r="267">
      <c r="A267" s="72" t="n"/>
      <c r="B267" s="57" t="n"/>
      <c r="C267" s="57" t="n"/>
      <c r="D267" s="73" t="n"/>
      <c r="E267" s="57" t="n"/>
      <c r="F267" s="57" t="n"/>
      <c r="G267" s="57" t="n"/>
      <c r="H267" s="74">
        <f>IF(C267="","",IF(OR(C267="Received",C267="Transfer In",C267="Adjustment In",C267="Return In"),D267,-D267))</f>
        <v/>
      </c>
    </row>
    <row r="268">
      <c r="A268" s="72" t="n"/>
      <c r="B268" s="57" t="n"/>
      <c r="C268" s="57" t="n"/>
      <c r="D268" s="73" t="n"/>
      <c r="E268" s="57" t="n"/>
      <c r="F268" s="57" t="n"/>
      <c r="G268" s="57" t="n"/>
      <c r="H268" s="74">
        <f>IF(C268="","",IF(OR(C268="Received",C268="Transfer In",C268="Adjustment In",C268="Return In"),D268,-D268))</f>
        <v/>
      </c>
    </row>
    <row r="269">
      <c r="A269" s="72" t="n"/>
      <c r="B269" s="57" t="n"/>
      <c r="C269" s="57" t="n"/>
      <c r="D269" s="73" t="n"/>
      <c r="E269" s="57" t="n"/>
      <c r="F269" s="57" t="n"/>
      <c r="G269" s="57" t="n"/>
      <c r="H269" s="74">
        <f>IF(C269="","",IF(OR(C269="Received",C269="Transfer In",C269="Adjustment In",C269="Return In"),D269,-D269))</f>
        <v/>
      </c>
    </row>
    <row r="270">
      <c r="A270" s="72" t="n"/>
      <c r="B270" s="57" t="n"/>
      <c r="C270" s="57" t="n"/>
      <c r="D270" s="73" t="n"/>
      <c r="E270" s="57" t="n"/>
      <c r="F270" s="57" t="n"/>
      <c r="G270" s="57" t="n"/>
      <c r="H270" s="74">
        <f>IF(C270="","",IF(OR(C270="Received",C270="Transfer In",C270="Adjustment In",C270="Return In"),D270,-D270))</f>
        <v/>
      </c>
    </row>
    <row r="271">
      <c r="A271" s="72" t="n"/>
      <c r="B271" s="57" t="n"/>
      <c r="C271" s="57" t="n"/>
      <c r="D271" s="73" t="n"/>
      <c r="E271" s="57" t="n"/>
      <c r="F271" s="57" t="n"/>
      <c r="G271" s="57" t="n"/>
      <c r="H271" s="74">
        <f>IF(C271="","",IF(OR(C271="Received",C271="Transfer In",C271="Adjustment In",C271="Return In"),D271,-D271))</f>
        <v/>
      </c>
    </row>
    <row r="272">
      <c r="A272" s="72" t="n"/>
      <c r="B272" s="57" t="n"/>
      <c r="C272" s="57" t="n"/>
      <c r="D272" s="73" t="n"/>
      <c r="E272" s="57" t="n"/>
      <c r="F272" s="57" t="n"/>
      <c r="G272" s="57" t="n"/>
      <c r="H272" s="74">
        <f>IF(C272="","",IF(OR(C272="Received",C272="Transfer In",C272="Adjustment In",C272="Return In"),D272,-D272))</f>
        <v/>
      </c>
    </row>
    <row r="273">
      <c r="A273" s="72" t="n"/>
      <c r="B273" s="57" t="n"/>
      <c r="C273" s="57" t="n"/>
      <c r="D273" s="73" t="n"/>
      <c r="E273" s="57" t="n"/>
      <c r="F273" s="57" t="n"/>
      <c r="G273" s="57" t="n"/>
      <c r="H273" s="74">
        <f>IF(C273="","",IF(OR(C273="Received",C273="Transfer In",C273="Adjustment In",C273="Return In"),D273,-D273))</f>
        <v/>
      </c>
    </row>
    <row r="274">
      <c r="A274" s="72" t="n"/>
      <c r="B274" s="57" t="n"/>
      <c r="C274" s="57" t="n"/>
      <c r="D274" s="73" t="n"/>
      <c r="E274" s="57" t="n"/>
      <c r="F274" s="57" t="n"/>
      <c r="G274" s="57" t="n"/>
      <c r="H274" s="74">
        <f>IF(C274="","",IF(OR(C274="Received",C274="Transfer In",C274="Adjustment In",C274="Return In"),D274,-D274))</f>
        <v/>
      </c>
    </row>
    <row r="275">
      <c r="A275" s="72" t="n"/>
      <c r="B275" s="57" t="n"/>
      <c r="C275" s="57" t="n"/>
      <c r="D275" s="73" t="n"/>
      <c r="E275" s="57" t="n"/>
      <c r="F275" s="57" t="n"/>
      <c r="G275" s="57" t="n"/>
      <c r="H275" s="74">
        <f>IF(C275="","",IF(OR(C275="Received",C275="Transfer In",C275="Adjustment In",C275="Return In"),D275,-D275))</f>
        <v/>
      </c>
    </row>
    <row r="276">
      <c r="A276" s="72" t="n"/>
      <c r="B276" s="57" t="n"/>
      <c r="C276" s="57" t="n"/>
      <c r="D276" s="73" t="n"/>
      <c r="E276" s="57" t="n"/>
      <c r="F276" s="57" t="n"/>
      <c r="G276" s="57" t="n"/>
      <c r="H276" s="74">
        <f>IF(C276="","",IF(OR(C276="Received",C276="Transfer In",C276="Adjustment In",C276="Return In"),D276,-D276))</f>
        <v/>
      </c>
    </row>
    <row r="277">
      <c r="A277" s="72" t="n"/>
      <c r="B277" s="57" t="n"/>
      <c r="C277" s="57" t="n"/>
      <c r="D277" s="73" t="n"/>
      <c r="E277" s="57" t="n"/>
      <c r="F277" s="57" t="n"/>
      <c r="G277" s="57" t="n"/>
      <c r="H277" s="74">
        <f>IF(C277="","",IF(OR(C277="Received",C277="Transfer In",C277="Adjustment In",C277="Return In"),D277,-D277))</f>
        <v/>
      </c>
    </row>
    <row r="278">
      <c r="A278" s="72" t="n"/>
      <c r="B278" s="57" t="n"/>
      <c r="C278" s="57" t="n"/>
      <c r="D278" s="73" t="n"/>
      <c r="E278" s="57" t="n"/>
      <c r="F278" s="57" t="n"/>
      <c r="G278" s="57" t="n"/>
      <c r="H278" s="74">
        <f>IF(C278="","",IF(OR(C278="Received",C278="Transfer In",C278="Adjustment In",C278="Return In"),D278,-D278))</f>
        <v/>
      </c>
    </row>
    <row r="279">
      <c r="A279" s="72" t="n"/>
      <c r="B279" s="57" t="n"/>
      <c r="C279" s="57" t="n"/>
      <c r="D279" s="73" t="n"/>
      <c r="E279" s="57" t="n"/>
      <c r="F279" s="57" t="n"/>
      <c r="G279" s="57" t="n"/>
      <c r="H279" s="74">
        <f>IF(C279="","",IF(OR(C279="Received",C279="Transfer In",C279="Adjustment In",C279="Return In"),D279,-D279))</f>
        <v/>
      </c>
    </row>
    <row r="280">
      <c r="A280" s="72" t="n"/>
      <c r="B280" s="57" t="n"/>
      <c r="C280" s="57" t="n"/>
      <c r="D280" s="73" t="n"/>
      <c r="E280" s="57" t="n"/>
      <c r="F280" s="57" t="n"/>
      <c r="G280" s="57" t="n"/>
      <c r="H280" s="74">
        <f>IF(C280="","",IF(OR(C280="Received",C280="Transfer In",C280="Adjustment In",C280="Return In"),D280,-D280))</f>
        <v/>
      </c>
    </row>
    <row r="281">
      <c r="A281" s="72" t="n"/>
      <c r="B281" s="57" t="n"/>
      <c r="C281" s="57" t="n"/>
      <c r="D281" s="73" t="n"/>
      <c r="E281" s="57" t="n"/>
      <c r="F281" s="57" t="n"/>
      <c r="G281" s="57" t="n"/>
      <c r="H281" s="74">
        <f>IF(C281="","",IF(OR(C281="Received",C281="Transfer In",C281="Adjustment In",C281="Return In"),D281,-D281))</f>
        <v/>
      </c>
    </row>
    <row r="282">
      <c r="A282" s="72" t="n"/>
      <c r="B282" s="57" t="n"/>
      <c r="C282" s="57" t="n"/>
      <c r="D282" s="73" t="n"/>
      <c r="E282" s="57" t="n"/>
      <c r="F282" s="57" t="n"/>
      <c r="G282" s="57" t="n"/>
      <c r="H282" s="74">
        <f>IF(C282="","",IF(OR(C282="Received",C282="Transfer In",C282="Adjustment In",C282="Return In"),D282,-D282))</f>
        <v/>
      </c>
    </row>
    <row r="283">
      <c r="A283" s="72" t="n"/>
      <c r="B283" s="57" t="n"/>
      <c r="C283" s="57" t="n"/>
      <c r="D283" s="73" t="n"/>
      <c r="E283" s="57" t="n"/>
      <c r="F283" s="57" t="n"/>
      <c r="G283" s="57" t="n"/>
      <c r="H283" s="74">
        <f>IF(C283="","",IF(OR(C283="Received",C283="Transfer In",C283="Adjustment In",C283="Return In"),D283,-D283))</f>
        <v/>
      </c>
    </row>
    <row r="284">
      <c r="A284" s="72" t="n"/>
      <c r="B284" s="57" t="n"/>
      <c r="C284" s="57" t="n"/>
      <c r="D284" s="73" t="n"/>
      <c r="E284" s="57" t="n"/>
      <c r="F284" s="57" t="n"/>
      <c r="G284" s="57" t="n"/>
      <c r="H284" s="74">
        <f>IF(C284="","",IF(OR(C284="Received",C284="Transfer In",C284="Adjustment In",C284="Return In"),D284,-D284))</f>
        <v/>
      </c>
    </row>
    <row r="285">
      <c r="A285" s="72" t="n"/>
      <c r="B285" s="57" t="n"/>
      <c r="C285" s="57" t="n"/>
      <c r="D285" s="73" t="n"/>
      <c r="E285" s="57" t="n"/>
      <c r="F285" s="57" t="n"/>
      <c r="G285" s="57" t="n"/>
      <c r="H285" s="74">
        <f>IF(C285="","",IF(OR(C285="Received",C285="Transfer In",C285="Adjustment In",C285="Return In"),D285,-D285))</f>
        <v/>
      </c>
    </row>
    <row r="286">
      <c r="A286" s="72" t="n"/>
      <c r="B286" s="57" t="n"/>
      <c r="C286" s="57" t="n"/>
      <c r="D286" s="73" t="n"/>
      <c r="E286" s="57" t="n"/>
      <c r="F286" s="57" t="n"/>
      <c r="G286" s="57" t="n"/>
      <c r="H286" s="74">
        <f>IF(C286="","",IF(OR(C286="Received",C286="Transfer In",C286="Adjustment In",C286="Return In"),D286,-D286))</f>
        <v/>
      </c>
    </row>
    <row r="287">
      <c r="A287" s="72" t="n"/>
      <c r="B287" s="57" t="n"/>
      <c r="C287" s="57" t="n"/>
      <c r="D287" s="73" t="n"/>
      <c r="E287" s="57" t="n"/>
      <c r="F287" s="57" t="n"/>
      <c r="G287" s="57" t="n"/>
      <c r="H287" s="74">
        <f>IF(C287="","",IF(OR(C287="Received",C287="Transfer In",C287="Adjustment In",C287="Return In"),D287,-D287))</f>
        <v/>
      </c>
    </row>
    <row r="288">
      <c r="A288" s="72" t="n"/>
      <c r="B288" s="57" t="n"/>
      <c r="C288" s="57" t="n"/>
      <c r="D288" s="73" t="n"/>
      <c r="E288" s="57" t="n"/>
      <c r="F288" s="57" t="n"/>
      <c r="G288" s="57" t="n"/>
      <c r="H288" s="74">
        <f>IF(C288="","",IF(OR(C288="Received",C288="Transfer In",C288="Adjustment In",C288="Return In"),D288,-D288))</f>
        <v/>
      </c>
    </row>
    <row r="289">
      <c r="A289" s="72" t="n"/>
      <c r="B289" s="57" t="n"/>
      <c r="C289" s="57" t="n"/>
      <c r="D289" s="73" t="n"/>
      <c r="E289" s="57" t="n"/>
      <c r="F289" s="57" t="n"/>
      <c r="G289" s="57" t="n"/>
      <c r="H289" s="74">
        <f>IF(C289="","",IF(OR(C289="Received",C289="Transfer In",C289="Adjustment In",C289="Return In"),D289,-D289))</f>
        <v/>
      </c>
    </row>
    <row r="290">
      <c r="A290" s="72" t="n"/>
      <c r="B290" s="57" t="n"/>
      <c r="C290" s="57" t="n"/>
      <c r="D290" s="73" t="n"/>
      <c r="E290" s="57" t="n"/>
      <c r="F290" s="57" t="n"/>
      <c r="G290" s="57" t="n"/>
      <c r="H290" s="74">
        <f>IF(C290="","",IF(OR(C290="Received",C290="Transfer In",C290="Adjustment In",C290="Return In"),D290,-D290))</f>
        <v/>
      </c>
    </row>
    <row r="291">
      <c r="A291" s="72" t="n"/>
      <c r="B291" s="57" t="n"/>
      <c r="C291" s="57" t="n"/>
      <c r="D291" s="73" t="n"/>
      <c r="E291" s="57" t="n"/>
      <c r="F291" s="57" t="n"/>
      <c r="G291" s="57" t="n"/>
      <c r="H291" s="74">
        <f>IF(C291="","",IF(OR(C291="Received",C291="Transfer In",C291="Adjustment In",C291="Return In"),D291,-D291))</f>
        <v/>
      </c>
    </row>
    <row r="292">
      <c r="A292" s="72" t="n"/>
      <c r="B292" s="57" t="n"/>
      <c r="C292" s="57" t="n"/>
      <c r="D292" s="73" t="n"/>
      <c r="E292" s="57" t="n"/>
      <c r="F292" s="57" t="n"/>
      <c r="G292" s="57" t="n"/>
      <c r="H292" s="74">
        <f>IF(C292="","",IF(OR(C292="Received",C292="Transfer In",C292="Adjustment In",C292="Return In"),D292,-D292))</f>
        <v/>
      </c>
    </row>
    <row r="293">
      <c r="A293" s="72" t="n"/>
      <c r="B293" s="57" t="n"/>
      <c r="C293" s="57" t="n"/>
      <c r="D293" s="73" t="n"/>
      <c r="E293" s="57" t="n"/>
      <c r="F293" s="57" t="n"/>
      <c r="G293" s="57" t="n"/>
      <c r="H293" s="74">
        <f>IF(C293="","",IF(OR(C293="Received",C293="Transfer In",C293="Adjustment In",C293="Return In"),D293,-D293))</f>
        <v/>
      </c>
    </row>
    <row r="294">
      <c r="A294" s="72" t="n"/>
      <c r="B294" s="57" t="n"/>
      <c r="C294" s="57" t="n"/>
      <c r="D294" s="73" t="n"/>
      <c r="E294" s="57" t="n"/>
      <c r="F294" s="57" t="n"/>
      <c r="G294" s="57" t="n"/>
      <c r="H294" s="74">
        <f>IF(C294="","",IF(OR(C294="Received",C294="Transfer In",C294="Adjustment In",C294="Return In"),D294,-D294))</f>
        <v/>
      </c>
    </row>
    <row r="295">
      <c r="A295" s="72" t="n"/>
      <c r="B295" s="57" t="n"/>
      <c r="C295" s="57" t="n"/>
      <c r="D295" s="73" t="n"/>
      <c r="E295" s="57" t="n"/>
      <c r="F295" s="57" t="n"/>
      <c r="G295" s="57" t="n"/>
      <c r="H295" s="74">
        <f>IF(C295="","",IF(OR(C295="Received",C295="Transfer In",C295="Adjustment In",C295="Return In"),D295,-D295))</f>
        <v/>
      </c>
    </row>
    <row r="296">
      <c r="A296" s="72" t="n"/>
      <c r="B296" s="57" t="n"/>
      <c r="C296" s="57" t="n"/>
      <c r="D296" s="73" t="n"/>
      <c r="E296" s="57" t="n"/>
      <c r="F296" s="57" t="n"/>
      <c r="G296" s="57" t="n"/>
      <c r="H296" s="74">
        <f>IF(C296="","",IF(OR(C296="Received",C296="Transfer In",C296="Adjustment In",C296="Return In"),D296,-D296))</f>
        <v/>
      </c>
    </row>
    <row r="297">
      <c r="A297" s="72" t="n"/>
      <c r="B297" s="57" t="n"/>
      <c r="C297" s="57" t="n"/>
      <c r="D297" s="73" t="n"/>
      <c r="E297" s="57" t="n"/>
      <c r="F297" s="57" t="n"/>
      <c r="G297" s="57" t="n"/>
      <c r="H297" s="74">
        <f>IF(C297="","",IF(OR(C297="Received",C297="Transfer In",C297="Adjustment In",C297="Return In"),D297,-D297))</f>
        <v/>
      </c>
    </row>
    <row r="298">
      <c r="A298" s="72" t="n"/>
      <c r="B298" s="57" t="n"/>
      <c r="C298" s="57" t="n"/>
      <c r="D298" s="73" t="n"/>
      <c r="E298" s="57" t="n"/>
      <c r="F298" s="57" t="n"/>
      <c r="G298" s="57" t="n"/>
      <c r="H298" s="74">
        <f>IF(C298="","",IF(OR(C298="Received",C298="Transfer In",C298="Adjustment In",C298="Return In"),D298,-D298))</f>
        <v/>
      </c>
    </row>
    <row r="299">
      <c r="A299" s="72" t="n"/>
      <c r="B299" s="57" t="n"/>
      <c r="C299" s="57" t="n"/>
      <c r="D299" s="73" t="n"/>
      <c r="E299" s="57" t="n"/>
      <c r="F299" s="57" t="n"/>
      <c r="G299" s="57" t="n"/>
      <c r="H299" s="74">
        <f>IF(C299="","",IF(OR(C299="Received",C299="Transfer In",C299="Adjustment In",C299="Return In"),D299,-D299))</f>
        <v/>
      </c>
    </row>
    <row r="300">
      <c r="A300" s="72" t="n"/>
      <c r="B300" s="57" t="n"/>
      <c r="C300" s="57" t="n"/>
      <c r="D300" s="73" t="n"/>
      <c r="E300" s="57" t="n"/>
      <c r="F300" s="57" t="n"/>
      <c r="G300" s="57" t="n"/>
      <c r="H300" s="74">
        <f>IF(C300="","",IF(OR(C300="Received",C300="Transfer In",C300="Adjustment In",C300="Return In"),D300,-D300))</f>
        <v/>
      </c>
    </row>
    <row r="301">
      <c r="A301" s="72" t="n"/>
      <c r="B301" s="57" t="n"/>
      <c r="C301" s="57" t="n"/>
      <c r="D301" s="73" t="n"/>
      <c r="E301" s="57" t="n"/>
      <c r="F301" s="57" t="n"/>
      <c r="G301" s="57" t="n"/>
      <c r="H301" s="74">
        <f>IF(C301="","",IF(OR(C301="Received",C301="Transfer In",C301="Adjustment In",C301="Return In"),D301,-D301))</f>
        <v/>
      </c>
    </row>
    <row r="302">
      <c r="A302" s="72" t="n"/>
      <c r="B302" s="57" t="n"/>
      <c r="C302" s="57" t="n"/>
      <c r="D302" s="73" t="n"/>
      <c r="E302" s="57" t="n"/>
      <c r="F302" s="57" t="n"/>
      <c r="G302" s="57" t="n"/>
      <c r="H302" s="74">
        <f>IF(C302="","",IF(OR(C302="Received",C302="Transfer In",C302="Adjustment In",C302="Return In"),D302,-D302))</f>
        <v/>
      </c>
    </row>
    <row r="303">
      <c r="A303" s="72" t="n"/>
      <c r="B303" s="57" t="n"/>
      <c r="C303" s="57" t="n"/>
      <c r="D303" s="73" t="n"/>
      <c r="E303" s="57" t="n"/>
      <c r="F303" s="57" t="n"/>
      <c r="G303" s="57" t="n"/>
      <c r="H303" s="74">
        <f>IF(C303="","",IF(OR(C303="Received",C303="Transfer In",C303="Adjustment In",C303="Return In"),D303,-D303))</f>
        <v/>
      </c>
    </row>
    <row r="304">
      <c r="A304" s="72" t="n"/>
      <c r="B304" s="57" t="n"/>
      <c r="C304" s="57" t="n"/>
      <c r="D304" s="73" t="n"/>
      <c r="E304" s="57" t="n"/>
      <c r="F304" s="57" t="n"/>
      <c r="G304" s="57" t="n"/>
      <c r="H304" s="74">
        <f>IF(C304="","",IF(OR(C304="Received",C304="Transfer In",C304="Adjustment In",C304="Return In"),D304,-D304))</f>
        <v/>
      </c>
    </row>
    <row r="305">
      <c r="A305" s="72" t="n"/>
      <c r="B305" s="57" t="n"/>
      <c r="C305" s="57" t="n"/>
      <c r="D305" s="73" t="n"/>
      <c r="E305" s="57" t="n"/>
      <c r="F305" s="57" t="n"/>
      <c r="G305" s="57" t="n"/>
      <c r="H305" s="74">
        <f>IF(C305="","",IF(OR(C305="Received",C305="Transfer In",C305="Adjustment In",C305="Return In"),D305,-D305))</f>
        <v/>
      </c>
    </row>
    <row r="306">
      <c r="A306" s="72" t="n"/>
      <c r="B306" s="57" t="n"/>
      <c r="C306" s="57" t="n"/>
      <c r="D306" s="73" t="n"/>
      <c r="E306" s="57" t="n"/>
      <c r="F306" s="57" t="n"/>
      <c r="G306" s="57" t="n"/>
      <c r="H306" s="74">
        <f>IF(C306="","",IF(OR(C306="Received",C306="Transfer In",C306="Adjustment In",C306="Return In"),D306,-D306))</f>
        <v/>
      </c>
    </row>
    <row r="307">
      <c r="A307" s="72" t="n"/>
      <c r="B307" s="57" t="n"/>
      <c r="C307" s="57" t="n"/>
      <c r="D307" s="73" t="n"/>
      <c r="E307" s="57" t="n"/>
      <c r="F307" s="57" t="n"/>
      <c r="G307" s="57" t="n"/>
      <c r="H307" s="74">
        <f>IF(C307="","",IF(OR(C307="Received",C307="Transfer In",C307="Adjustment In",C307="Return In"),D307,-D307))</f>
        <v/>
      </c>
    </row>
    <row r="308">
      <c r="A308" s="72" t="n"/>
      <c r="B308" s="57" t="n"/>
      <c r="C308" s="57" t="n"/>
      <c r="D308" s="73" t="n"/>
      <c r="E308" s="57" t="n"/>
      <c r="F308" s="57" t="n"/>
      <c r="G308" s="57" t="n"/>
      <c r="H308" s="74">
        <f>IF(C308="","",IF(OR(C308="Received",C308="Transfer In",C308="Adjustment In",C308="Return In"),D308,-D308))</f>
        <v/>
      </c>
    </row>
    <row r="309">
      <c r="A309" s="72" t="n"/>
      <c r="B309" s="57" t="n"/>
      <c r="C309" s="57" t="n"/>
      <c r="D309" s="73" t="n"/>
      <c r="E309" s="57" t="n"/>
      <c r="F309" s="57" t="n"/>
      <c r="G309" s="57" t="n"/>
      <c r="H309" s="74">
        <f>IF(C309="","",IF(OR(C309="Received",C309="Transfer In",C309="Adjustment In",C309="Return In"),D309,-D309))</f>
        <v/>
      </c>
    </row>
    <row r="310">
      <c r="A310" s="72" t="n"/>
      <c r="B310" s="57" t="n"/>
      <c r="C310" s="57" t="n"/>
      <c r="D310" s="73" t="n"/>
      <c r="E310" s="57" t="n"/>
      <c r="F310" s="57" t="n"/>
      <c r="G310" s="57" t="n"/>
      <c r="H310" s="74">
        <f>IF(C310="","",IF(OR(C310="Received",C310="Transfer In",C310="Adjustment In",C310="Return In"),D310,-D310))</f>
        <v/>
      </c>
    </row>
    <row r="311">
      <c r="A311" s="72" t="n"/>
      <c r="B311" s="57" t="n"/>
      <c r="C311" s="57" t="n"/>
      <c r="D311" s="73" t="n"/>
      <c r="E311" s="57" t="n"/>
      <c r="F311" s="57" t="n"/>
      <c r="G311" s="57" t="n"/>
      <c r="H311" s="74">
        <f>IF(C311="","",IF(OR(C311="Received",C311="Transfer In",C311="Adjustment In",C311="Return In"),D311,-D311))</f>
        <v/>
      </c>
    </row>
    <row r="312">
      <c r="A312" s="72" t="n"/>
      <c r="B312" s="57" t="n"/>
      <c r="C312" s="57" t="n"/>
      <c r="D312" s="73" t="n"/>
      <c r="E312" s="57" t="n"/>
      <c r="F312" s="57" t="n"/>
      <c r="G312" s="57" t="n"/>
      <c r="H312" s="74">
        <f>IF(C312="","",IF(OR(C312="Received",C312="Transfer In",C312="Adjustment In",C312="Return In"),D312,-D312))</f>
        <v/>
      </c>
    </row>
    <row r="313">
      <c r="A313" s="72" t="n"/>
      <c r="B313" s="57" t="n"/>
      <c r="C313" s="57" t="n"/>
      <c r="D313" s="73" t="n"/>
      <c r="E313" s="57" t="n"/>
      <c r="F313" s="57" t="n"/>
      <c r="G313" s="57" t="n"/>
      <c r="H313" s="74">
        <f>IF(C313="","",IF(OR(C313="Received",C313="Transfer In",C313="Adjustment In",C313="Return In"),D313,-D313))</f>
        <v/>
      </c>
    </row>
    <row r="314">
      <c r="A314" s="72" t="n"/>
      <c r="B314" s="57" t="n"/>
      <c r="C314" s="57" t="n"/>
      <c r="D314" s="73" t="n"/>
      <c r="E314" s="57" t="n"/>
      <c r="F314" s="57" t="n"/>
      <c r="G314" s="57" t="n"/>
      <c r="H314" s="74">
        <f>IF(C314="","",IF(OR(C314="Received",C314="Transfer In",C314="Adjustment In",C314="Return In"),D314,-D314))</f>
        <v/>
      </c>
    </row>
    <row r="315">
      <c r="A315" s="72" t="n"/>
      <c r="B315" s="57" t="n"/>
      <c r="C315" s="57" t="n"/>
      <c r="D315" s="73" t="n"/>
      <c r="E315" s="57" t="n"/>
      <c r="F315" s="57" t="n"/>
      <c r="G315" s="57" t="n"/>
      <c r="H315" s="74">
        <f>IF(C315="","",IF(OR(C315="Received",C315="Transfer In",C315="Adjustment In",C315="Return In"),D315,-D315))</f>
        <v/>
      </c>
    </row>
    <row r="316">
      <c r="A316" s="72" t="n"/>
      <c r="B316" s="57" t="n"/>
      <c r="C316" s="57" t="n"/>
      <c r="D316" s="73" t="n"/>
      <c r="E316" s="57" t="n"/>
      <c r="F316" s="57" t="n"/>
      <c r="G316" s="57" t="n"/>
      <c r="H316" s="74">
        <f>IF(C316="","",IF(OR(C316="Received",C316="Transfer In",C316="Adjustment In",C316="Return In"),D316,-D316))</f>
        <v/>
      </c>
    </row>
    <row r="317">
      <c r="A317" s="72" t="n"/>
      <c r="B317" s="57" t="n"/>
      <c r="C317" s="57" t="n"/>
      <c r="D317" s="73" t="n"/>
      <c r="E317" s="57" t="n"/>
      <c r="F317" s="57" t="n"/>
      <c r="G317" s="57" t="n"/>
      <c r="H317" s="74">
        <f>IF(C317="","",IF(OR(C317="Received",C317="Transfer In",C317="Adjustment In",C317="Return In"),D317,-D317))</f>
        <v/>
      </c>
    </row>
    <row r="318">
      <c r="A318" s="72" t="n"/>
      <c r="B318" s="57" t="n"/>
      <c r="C318" s="57" t="n"/>
      <c r="D318" s="73" t="n"/>
      <c r="E318" s="57" t="n"/>
      <c r="F318" s="57" t="n"/>
      <c r="G318" s="57" t="n"/>
      <c r="H318" s="74">
        <f>IF(C318="","",IF(OR(C318="Received",C318="Transfer In",C318="Adjustment In",C318="Return In"),D318,-D318))</f>
        <v/>
      </c>
    </row>
    <row r="319">
      <c r="A319" s="72" t="n"/>
      <c r="B319" s="57" t="n"/>
      <c r="C319" s="57" t="n"/>
      <c r="D319" s="73" t="n"/>
      <c r="E319" s="57" t="n"/>
      <c r="F319" s="57" t="n"/>
      <c r="G319" s="57" t="n"/>
      <c r="H319" s="74">
        <f>IF(C319="","",IF(OR(C319="Received",C319="Transfer In",C319="Adjustment In",C319="Return In"),D319,-D319))</f>
        <v/>
      </c>
    </row>
    <row r="320">
      <c r="A320" s="72" t="n"/>
      <c r="B320" s="57" t="n"/>
      <c r="C320" s="57" t="n"/>
      <c r="D320" s="73" t="n"/>
      <c r="E320" s="57" t="n"/>
      <c r="F320" s="57" t="n"/>
      <c r="G320" s="57" t="n"/>
      <c r="H320" s="74">
        <f>IF(C320="","",IF(OR(C320="Received",C320="Transfer In",C320="Adjustment In",C320="Return In"),D320,-D320))</f>
        <v/>
      </c>
    </row>
    <row r="321">
      <c r="A321" s="72" t="n"/>
      <c r="B321" s="57" t="n"/>
      <c r="C321" s="57" t="n"/>
      <c r="D321" s="73" t="n"/>
      <c r="E321" s="57" t="n"/>
      <c r="F321" s="57" t="n"/>
      <c r="G321" s="57" t="n"/>
      <c r="H321" s="74">
        <f>IF(C321="","",IF(OR(C321="Received",C321="Transfer In",C321="Adjustment In",C321="Return In"),D321,-D321))</f>
        <v/>
      </c>
    </row>
    <row r="322">
      <c r="A322" s="72" t="n"/>
      <c r="B322" s="57" t="n"/>
      <c r="C322" s="57" t="n"/>
      <c r="D322" s="73" t="n"/>
      <c r="E322" s="57" t="n"/>
      <c r="F322" s="57" t="n"/>
      <c r="G322" s="57" t="n"/>
      <c r="H322" s="74">
        <f>IF(C322="","",IF(OR(C322="Received",C322="Transfer In",C322="Adjustment In",C322="Return In"),D322,-D322))</f>
        <v/>
      </c>
    </row>
    <row r="323">
      <c r="A323" s="72" t="n"/>
      <c r="B323" s="57" t="n"/>
      <c r="C323" s="57" t="n"/>
      <c r="D323" s="73" t="n"/>
      <c r="E323" s="57" t="n"/>
      <c r="F323" s="57" t="n"/>
      <c r="G323" s="57" t="n"/>
      <c r="H323" s="74">
        <f>IF(C323="","",IF(OR(C323="Received",C323="Transfer In",C323="Adjustment In",C323="Return In"),D323,-D323))</f>
        <v/>
      </c>
    </row>
    <row r="324">
      <c r="A324" s="72" t="n"/>
      <c r="B324" s="57" t="n"/>
      <c r="C324" s="57" t="n"/>
      <c r="D324" s="73" t="n"/>
      <c r="E324" s="57" t="n"/>
      <c r="F324" s="57" t="n"/>
      <c r="G324" s="57" t="n"/>
      <c r="H324" s="74">
        <f>IF(C324="","",IF(OR(C324="Received",C324="Transfer In",C324="Adjustment In",C324="Return In"),D324,-D324))</f>
        <v/>
      </c>
    </row>
    <row r="325">
      <c r="A325" s="72" t="n"/>
      <c r="B325" s="57" t="n"/>
      <c r="C325" s="57" t="n"/>
      <c r="D325" s="73" t="n"/>
      <c r="E325" s="57" t="n"/>
      <c r="F325" s="57" t="n"/>
      <c r="G325" s="57" t="n"/>
      <c r="H325" s="74">
        <f>IF(C325="","",IF(OR(C325="Received",C325="Transfer In",C325="Adjustment In",C325="Return In"),D325,-D325))</f>
        <v/>
      </c>
    </row>
    <row r="326">
      <c r="A326" s="72" t="n"/>
      <c r="B326" s="57" t="n"/>
      <c r="C326" s="57" t="n"/>
      <c r="D326" s="73" t="n"/>
      <c r="E326" s="57" t="n"/>
      <c r="F326" s="57" t="n"/>
      <c r="G326" s="57" t="n"/>
      <c r="H326" s="74">
        <f>IF(C326="","",IF(OR(C326="Received",C326="Transfer In",C326="Adjustment In",C326="Return In"),D326,-D326))</f>
        <v/>
      </c>
    </row>
    <row r="327">
      <c r="A327" s="72" t="n"/>
      <c r="B327" s="57" t="n"/>
      <c r="C327" s="57" t="n"/>
      <c r="D327" s="73" t="n"/>
      <c r="E327" s="57" t="n"/>
      <c r="F327" s="57" t="n"/>
      <c r="G327" s="57" t="n"/>
      <c r="H327" s="74">
        <f>IF(C327="","",IF(OR(C327="Received",C327="Transfer In",C327="Adjustment In",C327="Return In"),D327,-D327))</f>
        <v/>
      </c>
    </row>
    <row r="328">
      <c r="A328" s="72" t="n"/>
      <c r="B328" s="57" t="n"/>
      <c r="C328" s="57" t="n"/>
      <c r="D328" s="73" t="n"/>
      <c r="E328" s="57" t="n"/>
      <c r="F328" s="57" t="n"/>
      <c r="G328" s="57" t="n"/>
      <c r="H328" s="74">
        <f>IF(C328="","",IF(OR(C328="Received",C328="Transfer In",C328="Adjustment In",C328="Return In"),D328,-D328))</f>
        <v/>
      </c>
    </row>
    <row r="329">
      <c r="A329" s="72" t="n"/>
      <c r="B329" s="57" t="n"/>
      <c r="C329" s="57" t="n"/>
      <c r="D329" s="73" t="n"/>
      <c r="E329" s="57" t="n"/>
      <c r="F329" s="57" t="n"/>
      <c r="G329" s="57" t="n"/>
      <c r="H329" s="74">
        <f>IF(C329="","",IF(OR(C329="Received",C329="Transfer In",C329="Adjustment In",C329="Return In"),D329,-D329))</f>
        <v/>
      </c>
    </row>
    <row r="330">
      <c r="A330" s="72" t="n"/>
      <c r="B330" s="57" t="n"/>
      <c r="C330" s="57" t="n"/>
      <c r="D330" s="73" t="n"/>
      <c r="E330" s="57" t="n"/>
      <c r="F330" s="57" t="n"/>
      <c r="G330" s="57" t="n"/>
      <c r="H330" s="74">
        <f>IF(C330="","",IF(OR(C330="Received",C330="Transfer In",C330="Adjustment In",C330="Return In"),D330,-D330))</f>
        <v/>
      </c>
    </row>
    <row r="331">
      <c r="A331" s="72" t="n"/>
      <c r="B331" s="57" t="n"/>
      <c r="C331" s="57" t="n"/>
      <c r="D331" s="73" t="n"/>
      <c r="E331" s="57" t="n"/>
      <c r="F331" s="57" t="n"/>
      <c r="G331" s="57" t="n"/>
      <c r="H331" s="74">
        <f>IF(C331="","",IF(OR(C331="Received",C331="Transfer In",C331="Adjustment In",C331="Return In"),D331,-D331))</f>
        <v/>
      </c>
    </row>
    <row r="332">
      <c r="A332" s="72" t="n"/>
      <c r="B332" s="57" t="n"/>
      <c r="C332" s="57" t="n"/>
      <c r="D332" s="73" t="n"/>
      <c r="E332" s="57" t="n"/>
      <c r="F332" s="57" t="n"/>
      <c r="G332" s="57" t="n"/>
      <c r="H332" s="74">
        <f>IF(C332="","",IF(OR(C332="Received",C332="Transfer In",C332="Adjustment In",C332="Return In"),D332,-D332))</f>
        <v/>
      </c>
    </row>
    <row r="333">
      <c r="A333" s="72" t="n"/>
      <c r="B333" s="57" t="n"/>
      <c r="C333" s="57" t="n"/>
      <c r="D333" s="73" t="n"/>
      <c r="E333" s="57" t="n"/>
      <c r="F333" s="57" t="n"/>
      <c r="G333" s="57" t="n"/>
      <c r="H333" s="74">
        <f>IF(C333="","",IF(OR(C333="Received",C333="Transfer In",C333="Adjustment In",C333="Return In"),D333,-D333))</f>
        <v/>
      </c>
    </row>
    <row r="334">
      <c r="A334" s="72" t="n"/>
      <c r="B334" s="57" t="n"/>
      <c r="C334" s="57" t="n"/>
      <c r="D334" s="73" t="n"/>
      <c r="E334" s="57" t="n"/>
      <c r="F334" s="57" t="n"/>
      <c r="G334" s="57" t="n"/>
      <c r="H334" s="74">
        <f>IF(C334="","",IF(OR(C334="Received",C334="Transfer In",C334="Adjustment In",C334="Return In"),D334,-D334))</f>
        <v/>
      </c>
    </row>
    <row r="335">
      <c r="A335" s="72" t="n"/>
      <c r="B335" s="57" t="n"/>
      <c r="C335" s="57" t="n"/>
      <c r="D335" s="73" t="n"/>
      <c r="E335" s="57" t="n"/>
      <c r="F335" s="57" t="n"/>
      <c r="G335" s="57" t="n"/>
      <c r="H335" s="74">
        <f>IF(C335="","",IF(OR(C335="Received",C335="Transfer In",C335="Adjustment In",C335="Return In"),D335,-D335))</f>
        <v/>
      </c>
    </row>
    <row r="336">
      <c r="A336" s="72" t="n"/>
      <c r="B336" s="57" t="n"/>
      <c r="C336" s="57" t="n"/>
      <c r="D336" s="73" t="n"/>
      <c r="E336" s="57" t="n"/>
      <c r="F336" s="57" t="n"/>
      <c r="G336" s="57" t="n"/>
      <c r="H336" s="74">
        <f>IF(C336="","",IF(OR(C336="Received",C336="Transfer In",C336="Adjustment In",C336="Return In"),D336,-D336))</f>
        <v/>
      </c>
    </row>
    <row r="337">
      <c r="A337" s="72" t="n"/>
      <c r="B337" s="57" t="n"/>
      <c r="C337" s="57" t="n"/>
      <c r="D337" s="73" t="n"/>
      <c r="E337" s="57" t="n"/>
      <c r="F337" s="57" t="n"/>
      <c r="G337" s="57" t="n"/>
      <c r="H337" s="74">
        <f>IF(C337="","",IF(OR(C337="Received",C337="Transfer In",C337="Adjustment In",C337="Return In"),D337,-D337))</f>
        <v/>
      </c>
    </row>
    <row r="338">
      <c r="A338" s="72" t="n"/>
      <c r="B338" s="57" t="n"/>
      <c r="C338" s="57" t="n"/>
      <c r="D338" s="73" t="n"/>
      <c r="E338" s="57" t="n"/>
      <c r="F338" s="57" t="n"/>
      <c r="G338" s="57" t="n"/>
      <c r="H338" s="74">
        <f>IF(C338="","",IF(OR(C338="Received",C338="Transfer In",C338="Adjustment In",C338="Return In"),D338,-D338))</f>
        <v/>
      </c>
    </row>
    <row r="339">
      <c r="A339" s="72" t="n"/>
      <c r="B339" s="57" t="n"/>
      <c r="C339" s="57" t="n"/>
      <c r="D339" s="73" t="n"/>
      <c r="E339" s="57" t="n"/>
      <c r="F339" s="57" t="n"/>
      <c r="G339" s="57" t="n"/>
      <c r="H339" s="74">
        <f>IF(C339="","",IF(OR(C339="Received",C339="Transfer In",C339="Adjustment In",C339="Return In"),D339,-D339))</f>
        <v/>
      </c>
    </row>
    <row r="340">
      <c r="A340" s="72" t="n"/>
      <c r="B340" s="57" t="n"/>
      <c r="C340" s="57" t="n"/>
      <c r="D340" s="73" t="n"/>
      <c r="E340" s="57" t="n"/>
      <c r="F340" s="57" t="n"/>
      <c r="G340" s="57" t="n"/>
      <c r="H340" s="74">
        <f>IF(C340="","",IF(OR(C340="Received",C340="Transfer In",C340="Adjustment In",C340="Return In"),D340,-D340))</f>
        <v/>
      </c>
    </row>
    <row r="341">
      <c r="A341" s="72" t="n"/>
      <c r="B341" s="57" t="n"/>
      <c r="C341" s="57" t="n"/>
      <c r="D341" s="73" t="n"/>
      <c r="E341" s="57" t="n"/>
      <c r="F341" s="57" t="n"/>
      <c r="G341" s="57" t="n"/>
      <c r="H341" s="74">
        <f>IF(C341="","",IF(OR(C341="Received",C341="Transfer In",C341="Adjustment In",C341="Return In"),D341,-D341))</f>
        <v/>
      </c>
    </row>
    <row r="342">
      <c r="A342" s="72" t="n"/>
      <c r="B342" s="57" t="n"/>
      <c r="C342" s="57" t="n"/>
      <c r="D342" s="73" t="n"/>
      <c r="E342" s="57" t="n"/>
      <c r="F342" s="57" t="n"/>
      <c r="G342" s="57" t="n"/>
      <c r="H342" s="74">
        <f>IF(C342="","",IF(OR(C342="Received",C342="Transfer In",C342="Adjustment In",C342="Return In"),D342,-D342))</f>
        <v/>
      </c>
    </row>
    <row r="343">
      <c r="A343" s="72" t="n"/>
      <c r="B343" s="57" t="n"/>
      <c r="C343" s="57" t="n"/>
      <c r="D343" s="73" t="n"/>
      <c r="E343" s="57" t="n"/>
      <c r="F343" s="57" t="n"/>
      <c r="G343" s="57" t="n"/>
      <c r="H343" s="74">
        <f>IF(C343="","",IF(OR(C343="Received",C343="Transfer In",C343="Adjustment In",C343="Return In"),D343,-D343))</f>
        <v/>
      </c>
    </row>
    <row r="344">
      <c r="A344" s="72" t="n"/>
      <c r="B344" s="57" t="n"/>
      <c r="C344" s="57" t="n"/>
      <c r="D344" s="73" t="n"/>
      <c r="E344" s="57" t="n"/>
      <c r="F344" s="57" t="n"/>
      <c r="G344" s="57" t="n"/>
      <c r="H344" s="74">
        <f>IF(C344="","",IF(OR(C344="Received",C344="Transfer In",C344="Adjustment In",C344="Return In"),D344,-D344))</f>
        <v/>
      </c>
    </row>
    <row r="345">
      <c r="A345" s="72" t="n"/>
      <c r="B345" s="57" t="n"/>
      <c r="C345" s="57" t="n"/>
      <c r="D345" s="73" t="n"/>
      <c r="E345" s="57" t="n"/>
      <c r="F345" s="57" t="n"/>
      <c r="G345" s="57" t="n"/>
      <c r="H345" s="74">
        <f>IF(C345="","",IF(OR(C345="Received",C345="Transfer In",C345="Adjustment In",C345="Return In"),D345,-D345))</f>
        <v/>
      </c>
    </row>
    <row r="346">
      <c r="A346" s="72" t="n"/>
      <c r="B346" s="57" t="n"/>
      <c r="C346" s="57" t="n"/>
      <c r="D346" s="73" t="n"/>
      <c r="E346" s="57" t="n"/>
      <c r="F346" s="57" t="n"/>
      <c r="G346" s="57" t="n"/>
      <c r="H346" s="74">
        <f>IF(C346="","",IF(OR(C346="Received",C346="Transfer In",C346="Adjustment In",C346="Return In"),D346,-D346))</f>
        <v/>
      </c>
    </row>
    <row r="347">
      <c r="A347" s="72" t="n"/>
      <c r="B347" s="57" t="n"/>
      <c r="C347" s="57" t="n"/>
      <c r="D347" s="73" t="n"/>
      <c r="E347" s="57" t="n"/>
      <c r="F347" s="57" t="n"/>
      <c r="G347" s="57" t="n"/>
      <c r="H347" s="74">
        <f>IF(C347="","",IF(OR(C347="Received",C347="Transfer In",C347="Adjustment In",C347="Return In"),D347,-D347))</f>
        <v/>
      </c>
    </row>
    <row r="348">
      <c r="A348" s="72" t="n"/>
      <c r="B348" s="57" t="n"/>
      <c r="C348" s="57" t="n"/>
      <c r="D348" s="73" t="n"/>
      <c r="E348" s="57" t="n"/>
      <c r="F348" s="57" t="n"/>
      <c r="G348" s="57" t="n"/>
      <c r="H348" s="74">
        <f>IF(C348="","",IF(OR(C348="Received",C348="Transfer In",C348="Adjustment In",C348="Return In"),D348,-D348))</f>
        <v/>
      </c>
    </row>
    <row r="349">
      <c r="A349" s="72" t="n"/>
      <c r="B349" s="57" t="n"/>
      <c r="C349" s="57" t="n"/>
      <c r="D349" s="73" t="n"/>
      <c r="E349" s="57" t="n"/>
      <c r="F349" s="57" t="n"/>
      <c r="G349" s="57" t="n"/>
      <c r="H349" s="74">
        <f>IF(C349="","",IF(OR(C349="Received",C349="Transfer In",C349="Adjustment In",C349="Return In"),D349,-D349))</f>
        <v/>
      </c>
    </row>
    <row r="350">
      <c r="A350" s="72" t="n"/>
      <c r="B350" s="57" t="n"/>
      <c r="C350" s="57" t="n"/>
      <c r="D350" s="73" t="n"/>
      <c r="E350" s="57" t="n"/>
      <c r="F350" s="57" t="n"/>
      <c r="G350" s="57" t="n"/>
      <c r="H350" s="74">
        <f>IF(C350="","",IF(OR(C350="Received",C350="Transfer In",C350="Adjustment In",C350="Return In"),D350,-D350))</f>
        <v/>
      </c>
    </row>
    <row r="351">
      <c r="A351" s="72" t="n"/>
      <c r="B351" s="57" t="n"/>
      <c r="C351" s="57" t="n"/>
      <c r="D351" s="73" t="n"/>
      <c r="E351" s="57" t="n"/>
      <c r="F351" s="57" t="n"/>
      <c r="G351" s="57" t="n"/>
      <c r="H351" s="74">
        <f>IF(C351="","",IF(OR(C351="Received",C351="Transfer In",C351="Adjustment In",C351="Return In"),D351,-D351))</f>
        <v/>
      </c>
    </row>
    <row r="352">
      <c r="A352" s="72" t="n"/>
      <c r="B352" s="57" t="n"/>
      <c r="C352" s="57" t="n"/>
      <c r="D352" s="73" t="n"/>
      <c r="E352" s="57" t="n"/>
      <c r="F352" s="57" t="n"/>
      <c r="G352" s="57" t="n"/>
      <c r="H352" s="74">
        <f>IF(C352="","",IF(OR(C352="Received",C352="Transfer In",C352="Adjustment In",C352="Return In"),D352,-D352))</f>
        <v/>
      </c>
    </row>
    <row r="353">
      <c r="A353" s="72" t="n"/>
      <c r="B353" s="57" t="n"/>
      <c r="C353" s="57" t="n"/>
      <c r="D353" s="73" t="n"/>
      <c r="E353" s="57" t="n"/>
      <c r="F353" s="57" t="n"/>
      <c r="G353" s="57" t="n"/>
      <c r="H353" s="74">
        <f>IF(C353="","",IF(OR(C353="Received",C353="Transfer In",C353="Adjustment In",C353="Return In"),D353,-D353))</f>
        <v/>
      </c>
    </row>
    <row r="354">
      <c r="A354" s="72" t="n"/>
      <c r="B354" s="57" t="n"/>
      <c r="C354" s="57" t="n"/>
      <c r="D354" s="73" t="n"/>
      <c r="E354" s="57" t="n"/>
      <c r="F354" s="57" t="n"/>
      <c r="G354" s="57" t="n"/>
      <c r="H354" s="74">
        <f>IF(C354="","",IF(OR(C354="Received",C354="Transfer In",C354="Adjustment In",C354="Return In"),D354,-D354))</f>
        <v/>
      </c>
    </row>
    <row r="355">
      <c r="A355" s="72" t="n"/>
      <c r="B355" s="57" t="n"/>
      <c r="C355" s="57" t="n"/>
      <c r="D355" s="73" t="n"/>
      <c r="E355" s="57" t="n"/>
      <c r="F355" s="57" t="n"/>
      <c r="G355" s="57" t="n"/>
      <c r="H355" s="74">
        <f>IF(C355="","",IF(OR(C355="Received",C355="Transfer In",C355="Adjustment In",C355="Return In"),D355,-D355))</f>
        <v/>
      </c>
    </row>
    <row r="356">
      <c r="A356" s="72" t="n"/>
      <c r="B356" s="57" t="n"/>
      <c r="C356" s="57" t="n"/>
      <c r="D356" s="73" t="n"/>
      <c r="E356" s="57" t="n"/>
      <c r="F356" s="57" t="n"/>
      <c r="G356" s="57" t="n"/>
      <c r="H356" s="74">
        <f>IF(C356="","",IF(OR(C356="Received",C356="Transfer In",C356="Adjustment In",C356="Return In"),D356,-D356))</f>
        <v/>
      </c>
    </row>
    <row r="357">
      <c r="A357" s="72" t="n"/>
      <c r="B357" s="57" t="n"/>
      <c r="C357" s="57" t="n"/>
      <c r="D357" s="73" t="n"/>
      <c r="E357" s="57" t="n"/>
      <c r="F357" s="57" t="n"/>
      <c r="G357" s="57" t="n"/>
      <c r="H357" s="74">
        <f>IF(C357="","",IF(OR(C357="Received",C357="Transfer In",C357="Adjustment In",C357="Return In"),D357,-D357))</f>
        <v/>
      </c>
    </row>
    <row r="358">
      <c r="A358" s="72" t="n"/>
      <c r="B358" s="57" t="n"/>
      <c r="C358" s="57" t="n"/>
      <c r="D358" s="73" t="n"/>
      <c r="E358" s="57" t="n"/>
      <c r="F358" s="57" t="n"/>
      <c r="G358" s="57" t="n"/>
      <c r="H358" s="74">
        <f>IF(C358="","",IF(OR(C358="Received",C358="Transfer In",C358="Adjustment In",C358="Return In"),D358,-D358))</f>
        <v/>
      </c>
    </row>
    <row r="359">
      <c r="A359" s="72" t="n"/>
      <c r="B359" s="57" t="n"/>
      <c r="C359" s="57" t="n"/>
      <c r="D359" s="73" t="n"/>
      <c r="E359" s="57" t="n"/>
      <c r="F359" s="57" t="n"/>
      <c r="G359" s="57" t="n"/>
      <c r="H359" s="74">
        <f>IF(C359="","",IF(OR(C359="Received",C359="Transfer In",C359="Adjustment In",C359="Return In"),D359,-D359))</f>
        <v/>
      </c>
    </row>
    <row r="360">
      <c r="A360" s="72" t="n"/>
      <c r="B360" s="57" t="n"/>
      <c r="C360" s="57" t="n"/>
      <c r="D360" s="73" t="n"/>
      <c r="E360" s="57" t="n"/>
      <c r="F360" s="57" t="n"/>
      <c r="G360" s="57" t="n"/>
      <c r="H360" s="74">
        <f>IF(C360="","",IF(OR(C360="Received",C360="Transfer In",C360="Adjustment In",C360="Return In"),D360,-D360))</f>
        <v/>
      </c>
    </row>
    <row r="361">
      <c r="A361" s="72" t="n"/>
      <c r="B361" s="57" t="n"/>
      <c r="C361" s="57" t="n"/>
      <c r="D361" s="73" t="n"/>
      <c r="E361" s="57" t="n"/>
      <c r="F361" s="57" t="n"/>
      <c r="G361" s="57" t="n"/>
      <c r="H361" s="74">
        <f>IF(C361="","",IF(OR(C361="Received",C361="Transfer In",C361="Adjustment In",C361="Return In"),D361,-D361))</f>
        <v/>
      </c>
    </row>
    <row r="362">
      <c r="A362" s="72" t="n"/>
      <c r="B362" s="57" t="n"/>
      <c r="C362" s="57" t="n"/>
      <c r="D362" s="73" t="n"/>
      <c r="E362" s="57" t="n"/>
      <c r="F362" s="57" t="n"/>
      <c r="G362" s="57" t="n"/>
      <c r="H362" s="74">
        <f>IF(C362="","",IF(OR(C362="Received",C362="Transfer In",C362="Adjustment In",C362="Return In"),D362,-D362))</f>
        <v/>
      </c>
    </row>
    <row r="363">
      <c r="A363" s="72" t="n"/>
      <c r="B363" s="57" t="n"/>
      <c r="C363" s="57" t="n"/>
      <c r="D363" s="73" t="n"/>
      <c r="E363" s="57" t="n"/>
      <c r="F363" s="57" t="n"/>
      <c r="G363" s="57" t="n"/>
      <c r="H363" s="74">
        <f>IF(C363="","",IF(OR(C363="Received",C363="Transfer In",C363="Adjustment In",C363="Return In"),D363,-D363))</f>
        <v/>
      </c>
    </row>
    <row r="364">
      <c r="A364" s="72" t="n"/>
      <c r="B364" s="57" t="n"/>
      <c r="C364" s="57" t="n"/>
      <c r="D364" s="73" t="n"/>
      <c r="E364" s="57" t="n"/>
      <c r="F364" s="57" t="n"/>
      <c r="G364" s="57" t="n"/>
      <c r="H364" s="74">
        <f>IF(C364="","",IF(OR(C364="Received",C364="Transfer In",C364="Adjustment In",C364="Return In"),D364,-D364))</f>
        <v/>
      </c>
    </row>
    <row r="365">
      <c r="A365" s="72" t="n"/>
      <c r="B365" s="57" t="n"/>
      <c r="C365" s="57" t="n"/>
      <c r="D365" s="73" t="n"/>
      <c r="E365" s="57" t="n"/>
      <c r="F365" s="57" t="n"/>
      <c r="G365" s="57" t="n"/>
      <c r="H365" s="74">
        <f>IF(C365="","",IF(OR(C365="Received",C365="Transfer In",C365="Adjustment In",C365="Return In"),D365,-D365))</f>
        <v/>
      </c>
    </row>
    <row r="366">
      <c r="A366" s="72" t="n"/>
      <c r="B366" s="57" t="n"/>
      <c r="C366" s="57" t="n"/>
      <c r="D366" s="73" t="n"/>
      <c r="E366" s="57" t="n"/>
      <c r="F366" s="57" t="n"/>
      <c r="G366" s="57" t="n"/>
      <c r="H366" s="74">
        <f>IF(C366="","",IF(OR(C366="Received",C366="Transfer In",C366="Adjustment In",C366="Return In"),D366,-D366))</f>
        <v/>
      </c>
    </row>
    <row r="367">
      <c r="A367" s="72" t="n"/>
      <c r="B367" s="57" t="n"/>
      <c r="C367" s="57" t="n"/>
      <c r="D367" s="73" t="n"/>
      <c r="E367" s="57" t="n"/>
      <c r="F367" s="57" t="n"/>
      <c r="G367" s="57" t="n"/>
      <c r="H367" s="74">
        <f>IF(C367="","",IF(OR(C367="Received",C367="Transfer In",C367="Adjustment In",C367="Return In"),D367,-D367))</f>
        <v/>
      </c>
    </row>
    <row r="368">
      <c r="A368" s="72" t="n"/>
      <c r="B368" s="57" t="n"/>
      <c r="C368" s="57" t="n"/>
      <c r="D368" s="73" t="n"/>
      <c r="E368" s="57" t="n"/>
      <c r="F368" s="57" t="n"/>
      <c r="G368" s="57" t="n"/>
      <c r="H368" s="74">
        <f>IF(C368="","",IF(OR(C368="Received",C368="Transfer In",C368="Adjustment In",C368="Return In"),D368,-D368))</f>
        <v/>
      </c>
    </row>
    <row r="369">
      <c r="A369" s="72" t="n"/>
      <c r="B369" s="57" t="n"/>
      <c r="C369" s="57" t="n"/>
      <c r="D369" s="73" t="n"/>
      <c r="E369" s="57" t="n"/>
      <c r="F369" s="57" t="n"/>
      <c r="G369" s="57" t="n"/>
      <c r="H369" s="74">
        <f>IF(C369="","",IF(OR(C369="Received",C369="Transfer In",C369="Adjustment In",C369="Return In"),D369,-D369))</f>
        <v/>
      </c>
    </row>
    <row r="370">
      <c r="A370" s="72" t="n"/>
      <c r="B370" s="57" t="n"/>
      <c r="C370" s="57" t="n"/>
      <c r="D370" s="73" t="n"/>
      <c r="E370" s="57" t="n"/>
      <c r="F370" s="57" t="n"/>
      <c r="G370" s="57" t="n"/>
      <c r="H370" s="74">
        <f>IF(C370="","",IF(OR(C370="Received",C370="Transfer In",C370="Adjustment In",C370="Return In"),D370,-D370))</f>
        <v/>
      </c>
    </row>
    <row r="371">
      <c r="A371" s="72" t="n"/>
      <c r="B371" s="57" t="n"/>
      <c r="C371" s="57" t="n"/>
      <c r="D371" s="73" t="n"/>
      <c r="E371" s="57" t="n"/>
      <c r="F371" s="57" t="n"/>
      <c r="G371" s="57" t="n"/>
      <c r="H371" s="74">
        <f>IF(C371="","",IF(OR(C371="Received",C371="Transfer In",C371="Adjustment In",C371="Return In"),D371,-D371))</f>
        <v/>
      </c>
    </row>
    <row r="372">
      <c r="A372" s="72" t="n"/>
      <c r="B372" s="57" t="n"/>
      <c r="C372" s="57" t="n"/>
      <c r="D372" s="73" t="n"/>
      <c r="E372" s="57" t="n"/>
      <c r="F372" s="57" t="n"/>
      <c r="G372" s="57" t="n"/>
      <c r="H372" s="74">
        <f>IF(C372="","",IF(OR(C372="Received",C372="Transfer In",C372="Adjustment In",C372="Return In"),D372,-D372))</f>
        <v/>
      </c>
    </row>
    <row r="373">
      <c r="A373" s="72" t="n"/>
      <c r="B373" s="57" t="n"/>
      <c r="C373" s="57" t="n"/>
      <c r="D373" s="73" t="n"/>
      <c r="E373" s="57" t="n"/>
      <c r="F373" s="57" t="n"/>
      <c r="G373" s="57" t="n"/>
      <c r="H373" s="74">
        <f>IF(C373="","",IF(OR(C373="Received",C373="Transfer In",C373="Adjustment In",C373="Return In"),D373,-D373))</f>
        <v/>
      </c>
    </row>
    <row r="374">
      <c r="A374" s="72" t="n"/>
      <c r="B374" s="57" t="n"/>
      <c r="C374" s="57" t="n"/>
      <c r="D374" s="73" t="n"/>
      <c r="E374" s="57" t="n"/>
      <c r="F374" s="57" t="n"/>
      <c r="G374" s="57" t="n"/>
      <c r="H374" s="74">
        <f>IF(C374="","",IF(OR(C374="Received",C374="Transfer In",C374="Adjustment In",C374="Return In"),D374,-D374))</f>
        <v/>
      </c>
    </row>
    <row r="375">
      <c r="A375" s="72" t="n"/>
      <c r="B375" s="57" t="n"/>
      <c r="C375" s="57" t="n"/>
      <c r="D375" s="73" t="n"/>
      <c r="E375" s="57" t="n"/>
      <c r="F375" s="57" t="n"/>
      <c r="G375" s="57" t="n"/>
      <c r="H375" s="74">
        <f>IF(C375="","",IF(OR(C375="Received",C375="Transfer In",C375="Adjustment In",C375="Return In"),D375,-D375))</f>
        <v/>
      </c>
    </row>
    <row r="376">
      <c r="A376" s="72" t="n"/>
      <c r="B376" s="57" t="n"/>
      <c r="C376" s="57" t="n"/>
      <c r="D376" s="73" t="n"/>
      <c r="E376" s="57" t="n"/>
      <c r="F376" s="57" t="n"/>
      <c r="G376" s="57" t="n"/>
      <c r="H376" s="74">
        <f>IF(C376="","",IF(OR(C376="Received",C376="Transfer In",C376="Adjustment In",C376="Return In"),D376,-D376))</f>
        <v/>
      </c>
    </row>
    <row r="377">
      <c r="A377" s="72" t="n"/>
      <c r="B377" s="57" t="n"/>
      <c r="C377" s="57" t="n"/>
      <c r="D377" s="73" t="n"/>
      <c r="E377" s="57" t="n"/>
      <c r="F377" s="57" t="n"/>
      <c r="G377" s="57" t="n"/>
      <c r="H377" s="74">
        <f>IF(C377="","",IF(OR(C377="Received",C377="Transfer In",C377="Adjustment In",C377="Return In"),D377,-D377))</f>
        <v/>
      </c>
    </row>
    <row r="378">
      <c r="A378" s="72" t="n"/>
      <c r="B378" s="57" t="n"/>
      <c r="C378" s="57" t="n"/>
      <c r="D378" s="73" t="n"/>
      <c r="E378" s="57" t="n"/>
      <c r="F378" s="57" t="n"/>
      <c r="G378" s="57" t="n"/>
      <c r="H378" s="74">
        <f>IF(C378="","",IF(OR(C378="Received",C378="Transfer In",C378="Adjustment In",C378="Return In"),D378,-D378))</f>
        <v/>
      </c>
    </row>
    <row r="379">
      <c r="A379" s="72" t="n"/>
      <c r="B379" s="57" t="n"/>
      <c r="C379" s="57" t="n"/>
      <c r="D379" s="73" t="n"/>
      <c r="E379" s="57" t="n"/>
      <c r="F379" s="57" t="n"/>
      <c r="G379" s="57" t="n"/>
      <c r="H379" s="74">
        <f>IF(C379="","",IF(OR(C379="Received",C379="Transfer In",C379="Adjustment In",C379="Return In"),D379,-D379))</f>
        <v/>
      </c>
    </row>
    <row r="380">
      <c r="A380" s="72" t="n"/>
      <c r="B380" s="57" t="n"/>
      <c r="C380" s="57" t="n"/>
      <c r="D380" s="73" t="n"/>
      <c r="E380" s="57" t="n"/>
      <c r="F380" s="57" t="n"/>
      <c r="G380" s="57" t="n"/>
      <c r="H380" s="74">
        <f>IF(C380="","",IF(OR(C380="Received",C380="Transfer In",C380="Adjustment In",C380="Return In"),D380,-D380))</f>
        <v/>
      </c>
    </row>
    <row r="381">
      <c r="A381" s="72" t="n"/>
      <c r="B381" s="57" t="n"/>
      <c r="C381" s="57" t="n"/>
      <c r="D381" s="73" t="n"/>
      <c r="E381" s="57" t="n"/>
      <c r="F381" s="57" t="n"/>
      <c r="G381" s="57" t="n"/>
      <c r="H381" s="74">
        <f>IF(C381="","",IF(OR(C381="Received",C381="Transfer In",C381="Adjustment In",C381="Return In"),D381,-D381))</f>
        <v/>
      </c>
    </row>
    <row r="382">
      <c r="A382" s="72" t="n"/>
      <c r="B382" s="57" t="n"/>
      <c r="C382" s="57" t="n"/>
      <c r="D382" s="73" t="n"/>
      <c r="E382" s="57" t="n"/>
      <c r="F382" s="57" t="n"/>
      <c r="G382" s="57" t="n"/>
      <c r="H382" s="74">
        <f>IF(C382="","",IF(OR(C382="Received",C382="Transfer In",C382="Adjustment In",C382="Return In"),D382,-D382))</f>
        <v/>
      </c>
    </row>
    <row r="383">
      <c r="A383" s="72" t="n"/>
      <c r="B383" s="57" t="n"/>
      <c r="C383" s="57" t="n"/>
      <c r="D383" s="73" t="n"/>
      <c r="E383" s="57" t="n"/>
      <c r="F383" s="57" t="n"/>
      <c r="G383" s="57" t="n"/>
      <c r="H383" s="74">
        <f>IF(C383="","",IF(OR(C383="Received",C383="Transfer In",C383="Adjustment In",C383="Return In"),D383,-D383))</f>
        <v/>
      </c>
    </row>
    <row r="384">
      <c r="A384" s="72" t="n"/>
      <c r="B384" s="57" t="n"/>
      <c r="C384" s="57" t="n"/>
      <c r="D384" s="73" t="n"/>
      <c r="E384" s="57" t="n"/>
      <c r="F384" s="57" t="n"/>
      <c r="G384" s="57" t="n"/>
      <c r="H384" s="74">
        <f>IF(C384="","",IF(OR(C384="Received",C384="Transfer In",C384="Adjustment In",C384="Return In"),D384,-D384))</f>
        <v/>
      </c>
    </row>
    <row r="385">
      <c r="A385" s="72" t="n"/>
      <c r="B385" s="57" t="n"/>
      <c r="C385" s="57" t="n"/>
      <c r="D385" s="73" t="n"/>
      <c r="E385" s="57" t="n"/>
      <c r="F385" s="57" t="n"/>
      <c r="G385" s="57" t="n"/>
      <c r="H385" s="74">
        <f>IF(C385="","",IF(OR(C385="Received",C385="Transfer In",C385="Adjustment In",C385="Return In"),D385,-D385))</f>
        <v/>
      </c>
    </row>
    <row r="386">
      <c r="A386" s="72" t="n"/>
      <c r="B386" s="57" t="n"/>
      <c r="C386" s="57" t="n"/>
      <c r="D386" s="73" t="n"/>
      <c r="E386" s="57" t="n"/>
      <c r="F386" s="57" t="n"/>
      <c r="G386" s="57" t="n"/>
      <c r="H386" s="74">
        <f>IF(C386="","",IF(OR(C386="Received",C386="Transfer In",C386="Adjustment In",C386="Return In"),D386,-D386))</f>
        <v/>
      </c>
    </row>
    <row r="387">
      <c r="A387" s="72" t="n"/>
      <c r="B387" s="57" t="n"/>
      <c r="C387" s="57" t="n"/>
      <c r="D387" s="73" t="n"/>
      <c r="E387" s="57" t="n"/>
      <c r="F387" s="57" t="n"/>
      <c r="G387" s="57" t="n"/>
      <c r="H387" s="74">
        <f>IF(C387="","",IF(OR(C387="Received",C387="Transfer In",C387="Adjustment In",C387="Return In"),D387,-D387))</f>
        <v/>
      </c>
    </row>
    <row r="388">
      <c r="A388" s="72" t="n"/>
      <c r="B388" s="57" t="n"/>
      <c r="C388" s="57" t="n"/>
      <c r="D388" s="73" t="n"/>
      <c r="E388" s="57" t="n"/>
      <c r="F388" s="57" t="n"/>
      <c r="G388" s="57" t="n"/>
      <c r="H388" s="74">
        <f>IF(C388="","",IF(OR(C388="Received",C388="Transfer In",C388="Adjustment In",C388="Return In"),D388,-D388))</f>
        <v/>
      </c>
    </row>
    <row r="389">
      <c r="A389" s="72" t="n"/>
      <c r="B389" s="57" t="n"/>
      <c r="C389" s="57" t="n"/>
      <c r="D389" s="73" t="n"/>
      <c r="E389" s="57" t="n"/>
      <c r="F389" s="57" t="n"/>
      <c r="G389" s="57" t="n"/>
      <c r="H389" s="74">
        <f>IF(C389="","",IF(OR(C389="Received",C389="Transfer In",C389="Adjustment In",C389="Return In"),D389,-D389))</f>
        <v/>
      </c>
    </row>
    <row r="390">
      <c r="A390" s="72" t="n"/>
      <c r="B390" s="57" t="n"/>
      <c r="C390" s="57" t="n"/>
      <c r="D390" s="73" t="n"/>
      <c r="E390" s="57" t="n"/>
      <c r="F390" s="57" t="n"/>
      <c r="G390" s="57" t="n"/>
      <c r="H390" s="74">
        <f>IF(C390="","",IF(OR(C390="Received",C390="Transfer In",C390="Adjustment In",C390="Return In"),D390,-D390))</f>
        <v/>
      </c>
    </row>
    <row r="391">
      <c r="A391" s="72" t="n"/>
      <c r="B391" s="57" t="n"/>
      <c r="C391" s="57" t="n"/>
      <c r="D391" s="73" t="n"/>
      <c r="E391" s="57" t="n"/>
      <c r="F391" s="57" t="n"/>
      <c r="G391" s="57" t="n"/>
      <c r="H391" s="74">
        <f>IF(C391="","",IF(OR(C391="Received",C391="Transfer In",C391="Adjustment In",C391="Return In"),D391,-D391))</f>
        <v/>
      </c>
    </row>
    <row r="392">
      <c r="A392" s="72" t="n"/>
      <c r="B392" s="57" t="n"/>
      <c r="C392" s="57" t="n"/>
      <c r="D392" s="73" t="n"/>
      <c r="E392" s="57" t="n"/>
      <c r="F392" s="57" t="n"/>
      <c r="G392" s="57" t="n"/>
      <c r="H392" s="74">
        <f>IF(C392="","",IF(OR(C392="Received",C392="Transfer In",C392="Adjustment In",C392="Return In"),D392,-D392))</f>
        <v/>
      </c>
    </row>
    <row r="393">
      <c r="A393" s="72" t="n"/>
      <c r="B393" s="57" t="n"/>
      <c r="C393" s="57" t="n"/>
      <c r="D393" s="73" t="n"/>
      <c r="E393" s="57" t="n"/>
      <c r="F393" s="57" t="n"/>
      <c r="G393" s="57" t="n"/>
      <c r="H393" s="74">
        <f>IF(C393="","",IF(OR(C393="Received",C393="Transfer In",C393="Adjustment In",C393="Return In"),D393,-D393))</f>
        <v/>
      </c>
    </row>
    <row r="394">
      <c r="A394" s="72" t="n"/>
      <c r="B394" s="57" t="n"/>
      <c r="C394" s="57" t="n"/>
      <c r="D394" s="73" t="n"/>
      <c r="E394" s="57" t="n"/>
      <c r="F394" s="57" t="n"/>
      <c r="G394" s="57" t="n"/>
      <c r="H394" s="74">
        <f>IF(C394="","",IF(OR(C394="Received",C394="Transfer In",C394="Adjustment In",C394="Return In"),D394,-D394))</f>
        <v/>
      </c>
    </row>
    <row r="395">
      <c r="A395" s="72" t="n"/>
      <c r="B395" s="57" t="n"/>
      <c r="C395" s="57" t="n"/>
      <c r="D395" s="73" t="n"/>
      <c r="E395" s="57" t="n"/>
      <c r="F395" s="57" t="n"/>
      <c r="G395" s="57" t="n"/>
      <c r="H395" s="74">
        <f>IF(C395="","",IF(OR(C395="Received",C395="Transfer In",C395="Adjustment In",C395="Return In"),D395,-D395))</f>
        <v/>
      </c>
    </row>
    <row r="396">
      <c r="A396" s="72" t="n"/>
      <c r="B396" s="57" t="n"/>
      <c r="C396" s="57" t="n"/>
      <c r="D396" s="73" t="n"/>
      <c r="E396" s="57" t="n"/>
      <c r="F396" s="57" t="n"/>
      <c r="G396" s="57" t="n"/>
      <c r="H396" s="74">
        <f>IF(C396="","",IF(OR(C396="Received",C396="Transfer In",C396="Adjustment In",C396="Return In"),D396,-D396))</f>
        <v/>
      </c>
    </row>
    <row r="397">
      <c r="A397" s="72" t="n"/>
      <c r="B397" s="57" t="n"/>
      <c r="C397" s="57" t="n"/>
      <c r="D397" s="73" t="n"/>
      <c r="E397" s="57" t="n"/>
      <c r="F397" s="57" t="n"/>
      <c r="G397" s="57" t="n"/>
      <c r="H397" s="74">
        <f>IF(C397="","",IF(OR(C397="Received",C397="Transfer In",C397="Adjustment In",C397="Return In"),D397,-D397))</f>
        <v/>
      </c>
    </row>
    <row r="398">
      <c r="A398" s="72" t="n"/>
      <c r="B398" s="57" t="n"/>
      <c r="C398" s="57" t="n"/>
      <c r="D398" s="73" t="n"/>
      <c r="E398" s="57" t="n"/>
      <c r="F398" s="57" t="n"/>
      <c r="G398" s="57" t="n"/>
      <c r="H398" s="74">
        <f>IF(C398="","",IF(OR(C398="Received",C398="Transfer In",C398="Adjustment In",C398="Return In"),D398,-D398))</f>
        <v/>
      </c>
    </row>
    <row r="399">
      <c r="A399" s="72" t="n"/>
      <c r="B399" s="57" t="n"/>
      <c r="C399" s="57" t="n"/>
      <c r="D399" s="73" t="n"/>
      <c r="E399" s="57" t="n"/>
      <c r="F399" s="57" t="n"/>
      <c r="G399" s="57" t="n"/>
      <c r="H399" s="74">
        <f>IF(C399="","",IF(OR(C399="Received",C399="Transfer In",C399="Adjustment In",C399="Return In"),D399,-D399))</f>
        <v/>
      </c>
    </row>
    <row r="400">
      <c r="A400" s="72" t="n"/>
      <c r="B400" s="57" t="n"/>
      <c r="C400" s="57" t="n"/>
      <c r="D400" s="73" t="n"/>
      <c r="E400" s="57" t="n"/>
      <c r="F400" s="57" t="n"/>
      <c r="G400" s="57" t="n"/>
      <c r="H400" s="74">
        <f>IF(C400="","",IF(OR(C400="Received",C400="Transfer In",C400="Adjustment In",C400="Return In"),D400,-D400))</f>
        <v/>
      </c>
    </row>
    <row r="401">
      <c r="A401" s="72" t="n"/>
      <c r="B401" s="57" t="n"/>
      <c r="C401" s="57" t="n"/>
      <c r="D401" s="73" t="n"/>
      <c r="E401" s="57" t="n"/>
      <c r="F401" s="57" t="n"/>
      <c r="G401" s="57" t="n"/>
      <c r="H401" s="74">
        <f>IF(C401="","",IF(OR(C401="Received",C401="Transfer In",C401="Adjustment In",C401="Return In"),D401,-D401))</f>
        <v/>
      </c>
    </row>
    <row r="402">
      <c r="A402" s="72" t="n"/>
      <c r="B402" s="57" t="n"/>
      <c r="C402" s="57" t="n"/>
      <c r="D402" s="73" t="n"/>
      <c r="E402" s="57" t="n"/>
      <c r="F402" s="57" t="n"/>
      <c r="G402" s="57" t="n"/>
      <c r="H402" s="74">
        <f>IF(C402="","",IF(OR(C402="Received",C402="Transfer In",C402="Adjustment In",C402="Return In"),D402,-D402))</f>
        <v/>
      </c>
    </row>
    <row r="403">
      <c r="A403" s="72" t="n"/>
      <c r="B403" s="57" t="n"/>
      <c r="C403" s="57" t="n"/>
      <c r="D403" s="73" t="n"/>
      <c r="E403" s="57" t="n"/>
      <c r="F403" s="57" t="n"/>
      <c r="G403" s="57" t="n"/>
      <c r="H403" s="74">
        <f>IF(C403="","",IF(OR(C403="Received",C403="Transfer In",C403="Adjustment In",C403="Return In"),D403,-D403))</f>
        <v/>
      </c>
    </row>
    <row r="404">
      <c r="A404" s="72" t="n"/>
      <c r="B404" s="57" t="n"/>
      <c r="C404" s="57" t="n"/>
      <c r="D404" s="73" t="n"/>
      <c r="E404" s="57" t="n"/>
      <c r="F404" s="57" t="n"/>
      <c r="G404" s="57" t="n"/>
      <c r="H404" s="74">
        <f>IF(C404="","",IF(OR(C404="Received",C404="Transfer In",C404="Adjustment In",C404="Return In"),D404,-D404))</f>
        <v/>
      </c>
    </row>
    <row r="405">
      <c r="A405" s="72" t="n"/>
      <c r="B405" s="57" t="n"/>
      <c r="C405" s="57" t="n"/>
      <c r="D405" s="73" t="n"/>
      <c r="E405" s="57" t="n"/>
      <c r="F405" s="57" t="n"/>
      <c r="G405" s="57" t="n"/>
      <c r="H405" s="74">
        <f>IF(C405="","",IF(OR(C405="Received",C405="Transfer In",C405="Adjustment In",C405="Return In"),D405,-D405))</f>
        <v/>
      </c>
    </row>
    <row r="406">
      <c r="A406" s="72" t="n"/>
      <c r="B406" s="57" t="n"/>
      <c r="C406" s="57" t="n"/>
      <c r="D406" s="73" t="n"/>
      <c r="E406" s="57" t="n"/>
      <c r="F406" s="57" t="n"/>
      <c r="G406" s="57" t="n"/>
      <c r="H406" s="74">
        <f>IF(C406="","",IF(OR(C406="Received",C406="Transfer In",C406="Adjustment In",C406="Return In"),D406,-D406))</f>
        <v/>
      </c>
    </row>
    <row r="407">
      <c r="A407" s="72" t="n"/>
      <c r="B407" s="57" t="n"/>
      <c r="C407" s="57" t="n"/>
      <c r="D407" s="73" t="n"/>
      <c r="E407" s="57" t="n"/>
      <c r="F407" s="57" t="n"/>
      <c r="G407" s="57" t="n"/>
      <c r="H407" s="74">
        <f>IF(C407="","",IF(OR(C407="Received",C407="Transfer In",C407="Adjustment In",C407="Return In"),D407,-D407))</f>
        <v/>
      </c>
    </row>
    <row r="408">
      <c r="A408" s="72" t="n"/>
      <c r="B408" s="57" t="n"/>
      <c r="C408" s="57" t="n"/>
      <c r="D408" s="73" t="n"/>
      <c r="E408" s="57" t="n"/>
      <c r="F408" s="57" t="n"/>
      <c r="G408" s="57" t="n"/>
      <c r="H408" s="74">
        <f>IF(C408="","",IF(OR(C408="Received",C408="Transfer In",C408="Adjustment In",C408="Return In"),D408,-D408))</f>
        <v/>
      </c>
    </row>
    <row r="409">
      <c r="A409" s="72" t="n"/>
      <c r="B409" s="57" t="n"/>
      <c r="C409" s="57" t="n"/>
      <c r="D409" s="73" t="n"/>
      <c r="E409" s="57" t="n"/>
      <c r="F409" s="57" t="n"/>
      <c r="G409" s="57" t="n"/>
      <c r="H409" s="74">
        <f>IF(C409="","",IF(OR(C409="Received",C409="Transfer In",C409="Adjustment In",C409="Return In"),D409,-D409))</f>
        <v/>
      </c>
    </row>
    <row r="410">
      <c r="A410" s="72" t="n"/>
      <c r="B410" s="57" t="n"/>
      <c r="C410" s="57" t="n"/>
      <c r="D410" s="73" t="n"/>
      <c r="E410" s="57" t="n"/>
      <c r="F410" s="57" t="n"/>
      <c r="G410" s="57" t="n"/>
      <c r="H410" s="74">
        <f>IF(C410="","",IF(OR(C410="Received",C410="Transfer In",C410="Adjustment In",C410="Return In"),D410,-D410))</f>
        <v/>
      </c>
    </row>
    <row r="411">
      <c r="A411" s="72" t="n"/>
      <c r="B411" s="57" t="n"/>
      <c r="C411" s="57" t="n"/>
      <c r="D411" s="73" t="n"/>
      <c r="E411" s="57" t="n"/>
      <c r="F411" s="57" t="n"/>
      <c r="G411" s="57" t="n"/>
      <c r="H411" s="74">
        <f>IF(C411="","",IF(OR(C411="Received",C411="Transfer In",C411="Adjustment In",C411="Return In"),D411,-D411))</f>
        <v/>
      </c>
    </row>
    <row r="412">
      <c r="A412" s="72" t="n"/>
      <c r="B412" s="57" t="n"/>
      <c r="C412" s="57" t="n"/>
      <c r="D412" s="73" t="n"/>
      <c r="E412" s="57" t="n"/>
      <c r="F412" s="57" t="n"/>
      <c r="G412" s="57" t="n"/>
      <c r="H412" s="74">
        <f>IF(C412="","",IF(OR(C412="Received",C412="Transfer In",C412="Adjustment In",C412="Return In"),D412,-D412))</f>
        <v/>
      </c>
    </row>
    <row r="413">
      <c r="A413" s="72" t="n"/>
      <c r="B413" s="57" t="n"/>
      <c r="C413" s="57" t="n"/>
      <c r="D413" s="73" t="n"/>
      <c r="E413" s="57" t="n"/>
      <c r="F413" s="57" t="n"/>
      <c r="G413" s="57" t="n"/>
      <c r="H413" s="74">
        <f>IF(C413="","",IF(OR(C413="Received",C413="Transfer In",C413="Adjustment In",C413="Return In"),D413,-D413))</f>
        <v/>
      </c>
    </row>
    <row r="414">
      <c r="A414" s="72" t="n"/>
      <c r="B414" s="57" t="n"/>
      <c r="C414" s="57" t="n"/>
      <c r="D414" s="73" t="n"/>
      <c r="E414" s="57" t="n"/>
      <c r="F414" s="57" t="n"/>
      <c r="G414" s="57" t="n"/>
      <c r="H414" s="74">
        <f>IF(C414="","",IF(OR(C414="Received",C414="Transfer In",C414="Adjustment In",C414="Return In"),D414,-D414))</f>
        <v/>
      </c>
    </row>
    <row r="415">
      <c r="A415" s="72" t="n"/>
      <c r="B415" s="57" t="n"/>
      <c r="C415" s="57" t="n"/>
      <c r="D415" s="73" t="n"/>
      <c r="E415" s="57" t="n"/>
      <c r="F415" s="57" t="n"/>
      <c r="G415" s="57" t="n"/>
      <c r="H415" s="74">
        <f>IF(C415="","",IF(OR(C415="Received",C415="Transfer In",C415="Adjustment In",C415="Return In"),D415,-D415))</f>
        <v/>
      </c>
    </row>
    <row r="416">
      <c r="A416" s="72" t="n"/>
      <c r="B416" s="57" t="n"/>
      <c r="C416" s="57" t="n"/>
      <c r="D416" s="73" t="n"/>
      <c r="E416" s="57" t="n"/>
      <c r="F416" s="57" t="n"/>
      <c r="G416" s="57" t="n"/>
      <c r="H416" s="74">
        <f>IF(C416="","",IF(OR(C416="Received",C416="Transfer In",C416="Adjustment In",C416="Return In"),D416,-D416))</f>
        <v/>
      </c>
    </row>
    <row r="417">
      <c r="A417" s="72" t="n"/>
      <c r="B417" s="57" t="n"/>
      <c r="C417" s="57" t="n"/>
      <c r="D417" s="73" t="n"/>
      <c r="E417" s="57" t="n"/>
      <c r="F417" s="57" t="n"/>
      <c r="G417" s="57" t="n"/>
      <c r="H417" s="74">
        <f>IF(C417="","",IF(OR(C417="Received",C417="Transfer In",C417="Adjustment In",C417="Return In"),D417,-D417))</f>
        <v/>
      </c>
    </row>
    <row r="418">
      <c r="A418" s="72" t="n"/>
      <c r="B418" s="57" t="n"/>
      <c r="C418" s="57" t="n"/>
      <c r="D418" s="73" t="n"/>
      <c r="E418" s="57" t="n"/>
      <c r="F418" s="57" t="n"/>
      <c r="G418" s="57" t="n"/>
      <c r="H418" s="74">
        <f>IF(C418="","",IF(OR(C418="Received",C418="Transfer In",C418="Adjustment In",C418="Return In"),D418,-D418))</f>
        <v/>
      </c>
    </row>
    <row r="419">
      <c r="A419" s="72" t="n"/>
      <c r="B419" s="57" t="n"/>
      <c r="C419" s="57" t="n"/>
      <c r="D419" s="73" t="n"/>
      <c r="E419" s="57" t="n"/>
      <c r="F419" s="57" t="n"/>
      <c r="G419" s="57" t="n"/>
      <c r="H419" s="74">
        <f>IF(C419="","",IF(OR(C419="Received",C419="Transfer In",C419="Adjustment In",C419="Return In"),D419,-D419))</f>
        <v/>
      </c>
    </row>
    <row r="420">
      <c r="A420" s="72" t="n"/>
      <c r="B420" s="57" t="n"/>
      <c r="C420" s="57" t="n"/>
      <c r="D420" s="73" t="n"/>
      <c r="E420" s="57" t="n"/>
      <c r="F420" s="57" t="n"/>
      <c r="G420" s="57" t="n"/>
      <c r="H420" s="74">
        <f>IF(C420="","",IF(OR(C420="Received",C420="Transfer In",C420="Adjustment In",C420="Return In"),D420,-D420))</f>
        <v/>
      </c>
    </row>
    <row r="421">
      <c r="A421" s="72" t="n"/>
      <c r="B421" s="57" t="n"/>
      <c r="C421" s="57" t="n"/>
      <c r="D421" s="73" t="n"/>
      <c r="E421" s="57" t="n"/>
      <c r="F421" s="57" t="n"/>
      <c r="G421" s="57" t="n"/>
      <c r="H421" s="74">
        <f>IF(C421="","",IF(OR(C421="Received",C421="Transfer In",C421="Adjustment In",C421="Return In"),D421,-D421))</f>
        <v/>
      </c>
    </row>
    <row r="422">
      <c r="A422" s="72" t="n"/>
      <c r="B422" s="57" t="n"/>
      <c r="C422" s="57" t="n"/>
      <c r="D422" s="73" t="n"/>
      <c r="E422" s="57" t="n"/>
      <c r="F422" s="57" t="n"/>
      <c r="G422" s="57" t="n"/>
      <c r="H422" s="74">
        <f>IF(C422="","",IF(OR(C422="Received",C422="Transfer In",C422="Adjustment In",C422="Return In"),D422,-D422))</f>
        <v/>
      </c>
    </row>
    <row r="423">
      <c r="A423" s="72" t="n"/>
      <c r="B423" s="57" t="n"/>
      <c r="C423" s="57" t="n"/>
      <c r="D423" s="73" t="n"/>
      <c r="E423" s="57" t="n"/>
      <c r="F423" s="57" t="n"/>
      <c r="G423" s="57" t="n"/>
      <c r="H423" s="74">
        <f>IF(C423="","",IF(OR(C423="Received",C423="Transfer In",C423="Adjustment In",C423="Return In"),D423,-D423))</f>
        <v/>
      </c>
    </row>
    <row r="424">
      <c r="A424" s="72" t="n"/>
      <c r="B424" s="57" t="n"/>
      <c r="C424" s="57" t="n"/>
      <c r="D424" s="73" t="n"/>
      <c r="E424" s="57" t="n"/>
      <c r="F424" s="57" t="n"/>
      <c r="G424" s="57" t="n"/>
      <c r="H424" s="74">
        <f>IF(C424="","",IF(OR(C424="Received",C424="Transfer In",C424="Adjustment In",C424="Return In"),D424,-D424))</f>
        <v/>
      </c>
    </row>
    <row r="425">
      <c r="A425" s="72" t="n"/>
      <c r="B425" s="57" t="n"/>
      <c r="C425" s="57" t="n"/>
      <c r="D425" s="73" t="n"/>
      <c r="E425" s="57" t="n"/>
      <c r="F425" s="57" t="n"/>
      <c r="G425" s="57" t="n"/>
      <c r="H425" s="74">
        <f>IF(C425="","",IF(OR(C425="Received",C425="Transfer In",C425="Adjustment In",C425="Return In"),D425,-D425))</f>
        <v/>
      </c>
    </row>
    <row r="426">
      <c r="A426" s="72" t="n"/>
      <c r="B426" s="57" t="n"/>
      <c r="C426" s="57" t="n"/>
      <c r="D426" s="73" t="n"/>
      <c r="E426" s="57" t="n"/>
      <c r="F426" s="57" t="n"/>
      <c r="G426" s="57" t="n"/>
      <c r="H426" s="74">
        <f>IF(C426="","",IF(OR(C426="Received",C426="Transfer In",C426="Adjustment In",C426="Return In"),D426,-D426))</f>
        <v/>
      </c>
    </row>
    <row r="427">
      <c r="A427" s="72" t="n"/>
      <c r="B427" s="57" t="n"/>
      <c r="C427" s="57" t="n"/>
      <c r="D427" s="73" t="n"/>
      <c r="E427" s="57" t="n"/>
      <c r="F427" s="57" t="n"/>
      <c r="G427" s="57" t="n"/>
      <c r="H427" s="74">
        <f>IF(C427="","",IF(OR(C427="Received",C427="Transfer In",C427="Adjustment In",C427="Return In"),D427,-D427))</f>
        <v/>
      </c>
    </row>
    <row r="428">
      <c r="A428" s="72" t="n"/>
      <c r="B428" s="57" t="n"/>
      <c r="C428" s="57" t="n"/>
      <c r="D428" s="73" t="n"/>
      <c r="E428" s="57" t="n"/>
      <c r="F428" s="57" t="n"/>
      <c r="G428" s="57" t="n"/>
      <c r="H428" s="74">
        <f>IF(C428="","",IF(OR(C428="Received",C428="Transfer In",C428="Adjustment In",C428="Return In"),D428,-D428))</f>
        <v/>
      </c>
    </row>
    <row r="429">
      <c r="A429" s="72" t="n"/>
      <c r="B429" s="57" t="n"/>
      <c r="C429" s="57" t="n"/>
      <c r="D429" s="73" t="n"/>
      <c r="E429" s="57" t="n"/>
      <c r="F429" s="57" t="n"/>
      <c r="G429" s="57" t="n"/>
      <c r="H429" s="74">
        <f>IF(C429="","",IF(OR(C429="Received",C429="Transfer In",C429="Adjustment In",C429="Return In"),D429,-D429))</f>
        <v/>
      </c>
    </row>
    <row r="430">
      <c r="A430" s="72" t="n"/>
      <c r="B430" s="57" t="n"/>
      <c r="C430" s="57" t="n"/>
      <c r="D430" s="73" t="n"/>
      <c r="E430" s="57" t="n"/>
      <c r="F430" s="57" t="n"/>
      <c r="G430" s="57" t="n"/>
      <c r="H430" s="74">
        <f>IF(C430="","",IF(OR(C430="Received",C430="Transfer In",C430="Adjustment In",C430="Return In"),D430,-D430))</f>
        <v/>
      </c>
    </row>
    <row r="431">
      <c r="A431" s="72" t="n"/>
      <c r="B431" s="57" t="n"/>
      <c r="C431" s="57" t="n"/>
      <c r="D431" s="73" t="n"/>
      <c r="E431" s="57" t="n"/>
      <c r="F431" s="57" t="n"/>
      <c r="G431" s="57" t="n"/>
      <c r="H431" s="74">
        <f>IF(C431="","",IF(OR(C431="Received",C431="Transfer In",C431="Adjustment In",C431="Return In"),D431,-D431))</f>
        <v/>
      </c>
    </row>
    <row r="432">
      <c r="A432" s="72" t="n"/>
      <c r="B432" s="57" t="n"/>
      <c r="C432" s="57" t="n"/>
      <c r="D432" s="73" t="n"/>
      <c r="E432" s="57" t="n"/>
      <c r="F432" s="57" t="n"/>
      <c r="G432" s="57" t="n"/>
      <c r="H432" s="74">
        <f>IF(C432="","",IF(OR(C432="Received",C432="Transfer In",C432="Adjustment In",C432="Return In"),D432,-D432))</f>
        <v/>
      </c>
    </row>
    <row r="433">
      <c r="A433" s="72" t="n"/>
      <c r="B433" s="57" t="n"/>
      <c r="C433" s="57" t="n"/>
      <c r="D433" s="73" t="n"/>
      <c r="E433" s="57" t="n"/>
      <c r="F433" s="57" t="n"/>
      <c r="G433" s="57" t="n"/>
      <c r="H433" s="74">
        <f>IF(C433="","",IF(OR(C433="Received",C433="Transfer In",C433="Adjustment In",C433="Return In"),D433,-D433))</f>
        <v/>
      </c>
    </row>
    <row r="434">
      <c r="A434" s="72" t="n"/>
      <c r="B434" s="57" t="n"/>
      <c r="C434" s="57" t="n"/>
      <c r="D434" s="73" t="n"/>
      <c r="E434" s="57" t="n"/>
      <c r="F434" s="57" t="n"/>
      <c r="G434" s="57" t="n"/>
      <c r="H434" s="74">
        <f>IF(C434="","",IF(OR(C434="Received",C434="Transfer In",C434="Adjustment In",C434="Return In"),D434,-D434))</f>
        <v/>
      </c>
    </row>
    <row r="435">
      <c r="A435" s="72" t="n"/>
      <c r="B435" s="57" t="n"/>
      <c r="C435" s="57" t="n"/>
      <c r="D435" s="73" t="n"/>
      <c r="E435" s="57" t="n"/>
      <c r="F435" s="57" t="n"/>
      <c r="G435" s="57" t="n"/>
      <c r="H435" s="74">
        <f>IF(C435="","",IF(OR(C435="Received",C435="Transfer In",C435="Adjustment In",C435="Return In"),D435,-D435))</f>
        <v/>
      </c>
    </row>
    <row r="436">
      <c r="A436" s="72" t="n"/>
      <c r="B436" s="57" t="n"/>
      <c r="C436" s="57" t="n"/>
      <c r="D436" s="73" t="n"/>
      <c r="E436" s="57" t="n"/>
      <c r="F436" s="57" t="n"/>
      <c r="G436" s="57" t="n"/>
      <c r="H436" s="74">
        <f>IF(C436="","",IF(OR(C436="Received",C436="Transfer In",C436="Adjustment In",C436="Return In"),D436,-D436))</f>
        <v/>
      </c>
    </row>
    <row r="437">
      <c r="A437" s="72" t="n"/>
      <c r="B437" s="57" t="n"/>
      <c r="C437" s="57" t="n"/>
      <c r="D437" s="73" t="n"/>
      <c r="E437" s="57" t="n"/>
      <c r="F437" s="57" t="n"/>
      <c r="G437" s="57" t="n"/>
      <c r="H437" s="74">
        <f>IF(C437="","",IF(OR(C437="Received",C437="Transfer In",C437="Adjustment In",C437="Return In"),D437,-D437))</f>
        <v/>
      </c>
    </row>
    <row r="438">
      <c r="A438" s="72" t="n"/>
      <c r="B438" s="57" t="n"/>
      <c r="C438" s="57" t="n"/>
      <c r="D438" s="73" t="n"/>
      <c r="E438" s="57" t="n"/>
      <c r="F438" s="57" t="n"/>
      <c r="G438" s="57" t="n"/>
      <c r="H438" s="74">
        <f>IF(C438="","",IF(OR(C438="Received",C438="Transfer In",C438="Adjustment In",C438="Return In"),D438,-D438))</f>
        <v/>
      </c>
    </row>
    <row r="439">
      <c r="A439" s="72" t="n"/>
      <c r="B439" s="57" t="n"/>
      <c r="C439" s="57" t="n"/>
      <c r="D439" s="73" t="n"/>
      <c r="E439" s="57" t="n"/>
      <c r="F439" s="57" t="n"/>
      <c r="G439" s="57" t="n"/>
      <c r="H439" s="74">
        <f>IF(C439="","",IF(OR(C439="Received",C439="Transfer In",C439="Adjustment In",C439="Return In"),D439,-D439))</f>
        <v/>
      </c>
    </row>
    <row r="440">
      <c r="A440" s="72" t="n"/>
      <c r="B440" s="57" t="n"/>
      <c r="C440" s="57" t="n"/>
      <c r="D440" s="73" t="n"/>
      <c r="E440" s="57" t="n"/>
      <c r="F440" s="57" t="n"/>
      <c r="G440" s="57" t="n"/>
      <c r="H440" s="74">
        <f>IF(C440="","",IF(OR(C440="Received",C440="Transfer In",C440="Adjustment In",C440="Return In"),D440,-D440))</f>
        <v/>
      </c>
    </row>
    <row r="441">
      <c r="A441" s="72" t="n"/>
      <c r="B441" s="57" t="n"/>
      <c r="C441" s="57" t="n"/>
      <c r="D441" s="73" t="n"/>
      <c r="E441" s="57" t="n"/>
      <c r="F441" s="57" t="n"/>
      <c r="G441" s="57" t="n"/>
      <c r="H441" s="74">
        <f>IF(C441="","",IF(OR(C441="Received",C441="Transfer In",C441="Adjustment In",C441="Return In"),D441,-D441))</f>
        <v/>
      </c>
    </row>
    <row r="442">
      <c r="A442" s="72" t="n"/>
      <c r="B442" s="57" t="n"/>
      <c r="C442" s="57" t="n"/>
      <c r="D442" s="73" t="n"/>
      <c r="E442" s="57" t="n"/>
      <c r="F442" s="57" t="n"/>
      <c r="G442" s="57" t="n"/>
      <c r="H442" s="74">
        <f>IF(C442="","",IF(OR(C442="Received",C442="Transfer In",C442="Adjustment In",C442="Return In"),D442,-D442))</f>
        <v/>
      </c>
    </row>
    <row r="443">
      <c r="A443" s="72" t="n"/>
      <c r="B443" s="57" t="n"/>
      <c r="C443" s="57" t="n"/>
      <c r="D443" s="73" t="n"/>
      <c r="E443" s="57" t="n"/>
      <c r="F443" s="57" t="n"/>
      <c r="G443" s="57" t="n"/>
      <c r="H443" s="74">
        <f>IF(C443="","",IF(OR(C443="Received",C443="Transfer In",C443="Adjustment In",C443="Return In"),D443,-D443))</f>
        <v/>
      </c>
    </row>
    <row r="444">
      <c r="A444" s="72" t="n"/>
      <c r="B444" s="57" t="n"/>
      <c r="C444" s="57" t="n"/>
      <c r="D444" s="73" t="n"/>
      <c r="E444" s="57" t="n"/>
      <c r="F444" s="57" t="n"/>
      <c r="G444" s="57" t="n"/>
      <c r="H444" s="74">
        <f>IF(C444="","",IF(OR(C444="Received",C444="Transfer In",C444="Adjustment In",C444="Return In"),D444,-D444))</f>
        <v/>
      </c>
    </row>
    <row r="445">
      <c r="A445" s="72" t="n"/>
      <c r="B445" s="57" t="n"/>
      <c r="C445" s="57" t="n"/>
      <c r="D445" s="73" t="n"/>
      <c r="E445" s="57" t="n"/>
      <c r="F445" s="57" t="n"/>
      <c r="G445" s="57" t="n"/>
      <c r="H445" s="74">
        <f>IF(C445="","",IF(OR(C445="Received",C445="Transfer In",C445="Adjustment In",C445="Return In"),D445,-D445))</f>
        <v/>
      </c>
    </row>
    <row r="446">
      <c r="A446" s="72" t="n"/>
      <c r="B446" s="57" t="n"/>
      <c r="C446" s="57" t="n"/>
      <c r="D446" s="73" t="n"/>
      <c r="E446" s="57" t="n"/>
      <c r="F446" s="57" t="n"/>
      <c r="G446" s="57" t="n"/>
      <c r="H446" s="74">
        <f>IF(C446="","",IF(OR(C446="Received",C446="Transfer In",C446="Adjustment In",C446="Return In"),D446,-D446))</f>
        <v/>
      </c>
    </row>
    <row r="447">
      <c r="A447" s="72" t="n"/>
      <c r="B447" s="57" t="n"/>
      <c r="C447" s="57" t="n"/>
      <c r="D447" s="73" t="n"/>
      <c r="E447" s="57" t="n"/>
      <c r="F447" s="57" t="n"/>
      <c r="G447" s="57" t="n"/>
      <c r="H447" s="74">
        <f>IF(C447="","",IF(OR(C447="Received",C447="Transfer In",C447="Adjustment In",C447="Return In"),D447,-D447))</f>
        <v/>
      </c>
    </row>
    <row r="448">
      <c r="A448" s="72" t="n"/>
      <c r="B448" s="57" t="n"/>
      <c r="C448" s="57" t="n"/>
      <c r="D448" s="73" t="n"/>
      <c r="E448" s="57" t="n"/>
      <c r="F448" s="57" t="n"/>
      <c r="G448" s="57" t="n"/>
      <c r="H448" s="74">
        <f>IF(C448="","",IF(OR(C448="Received",C448="Transfer In",C448="Adjustment In",C448="Return In"),D448,-D448))</f>
        <v/>
      </c>
    </row>
    <row r="449">
      <c r="A449" s="72" t="n"/>
      <c r="B449" s="57" t="n"/>
      <c r="C449" s="57" t="n"/>
      <c r="D449" s="73" t="n"/>
      <c r="E449" s="57" t="n"/>
      <c r="F449" s="57" t="n"/>
      <c r="G449" s="57" t="n"/>
      <c r="H449" s="74">
        <f>IF(C449="","",IF(OR(C449="Received",C449="Transfer In",C449="Adjustment In",C449="Return In"),D449,-D449))</f>
        <v/>
      </c>
    </row>
    <row r="450">
      <c r="A450" s="72" t="n"/>
      <c r="B450" s="57" t="n"/>
      <c r="C450" s="57" t="n"/>
      <c r="D450" s="73" t="n"/>
      <c r="E450" s="57" t="n"/>
      <c r="F450" s="57" t="n"/>
      <c r="G450" s="57" t="n"/>
      <c r="H450" s="74">
        <f>IF(C450="","",IF(OR(C450="Received",C450="Transfer In",C450="Adjustment In",C450="Return In"),D450,-D450))</f>
        <v/>
      </c>
    </row>
    <row r="451">
      <c r="A451" s="72" t="n"/>
      <c r="B451" s="57" t="n"/>
      <c r="C451" s="57" t="n"/>
      <c r="D451" s="73" t="n"/>
      <c r="E451" s="57" t="n"/>
      <c r="F451" s="57" t="n"/>
      <c r="G451" s="57" t="n"/>
      <c r="H451" s="74">
        <f>IF(C451="","",IF(OR(C451="Received",C451="Transfer In",C451="Adjustment In",C451="Return In"),D451,-D451))</f>
        <v/>
      </c>
    </row>
    <row r="452">
      <c r="A452" s="72" t="n"/>
      <c r="B452" s="57" t="n"/>
      <c r="C452" s="57" t="n"/>
      <c r="D452" s="73" t="n"/>
      <c r="E452" s="57" t="n"/>
      <c r="F452" s="57" t="n"/>
      <c r="G452" s="57" t="n"/>
      <c r="H452" s="74">
        <f>IF(C452="","",IF(OR(C452="Received",C452="Transfer In",C452="Adjustment In",C452="Return In"),D452,-D452))</f>
        <v/>
      </c>
    </row>
    <row r="453">
      <c r="A453" s="72" t="n"/>
      <c r="B453" s="57" t="n"/>
      <c r="C453" s="57" t="n"/>
      <c r="D453" s="73" t="n"/>
      <c r="E453" s="57" t="n"/>
      <c r="F453" s="57" t="n"/>
      <c r="G453" s="57" t="n"/>
      <c r="H453" s="74">
        <f>IF(C453="","",IF(OR(C453="Received",C453="Transfer In",C453="Adjustment In",C453="Return In"),D453,-D453))</f>
        <v/>
      </c>
    </row>
    <row r="454">
      <c r="A454" s="72" t="n"/>
      <c r="B454" s="57" t="n"/>
      <c r="C454" s="57" t="n"/>
      <c r="D454" s="73" t="n"/>
      <c r="E454" s="57" t="n"/>
      <c r="F454" s="57" t="n"/>
      <c r="G454" s="57" t="n"/>
      <c r="H454" s="74">
        <f>IF(C454="","",IF(OR(C454="Received",C454="Transfer In",C454="Adjustment In",C454="Return In"),D454,-D454))</f>
        <v/>
      </c>
    </row>
    <row r="455">
      <c r="A455" s="72" t="n"/>
      <c r="B455" s="57" t="n"/>
      <c r="C455" s="57" t="n"/>
      <c r="D455" s="73" t="n"/>
      <c r="E455" s="57" t="n"/>
      <c r="F455" s="57" t="n"/>
      <c r="G455" s="57" t="n"/>
      <c r="H455" s="74">
        <f>IF(C455="","",IF(OR(C455="Received",C455="Transfer In",C455="Adjustment In",C455="Return In"),D455,-D455))</f>
        <v/>
      </c>
    </row>
    <row r="456">
      <c r="A456" s="72" t="n"/>
      <c r="B456" s="57" t="n"/>
      <c r="C456" s="57" t="n"/>
      <c r="D456" s="73" t="n"/>
      <c r="E456" s="57" t="n"/>
      <c r="F456" s="57" t="n"/>
      <c r="G456" s="57" t="n"/>
      <c r="H456" s="74">
        <f>IF(C456="","",IF(OR(C456="Received",C456="Transfer In",C456="Adjustment In",C456="Return In"),D456,-D456))</f>
        <v/>
      </c>
    </row>
    <row r="457">
      <c r="A457" s="72" t="n"/>
      <c r="B457" s="57" t="n"/>
      <c r="C457" s="57" t="n"/>
      <c r="D457" s="73" t="n"/>
      <c r="E457" s="57" t="n"/>
      <c r="F457" s="57" t="n"/>
      <c r="G457" s="57" t="n"/>
      <c r="H457" s="74">
        <f>IF(C457="","",IF(OR(C457="Received",C457="Transfer In",C457="Adjustment In",C457="Return In"),D457,-D457))</f>
        <v/>
      </c>
    </row>
    <row r="458">
      <c r="A458" s="72" t="n"/>
      <c r="B458" s="57" t="n"/>
      <c r="C458" s="57" t="n"/>
      <c r="D458" s="73" t="n"/>
      <c r="E458" s="57" t="n"/>
      <c r="F458" s="57" t="n"/>
      <c r="G458" s="57" t="n"/>
      <c r="H458" s="74">
        <f>IF(C458="","",IF(OR(C458="Received",C458="Transfer In",C458="Adjustment In",C458="Return In"),D458,-D458))</f>
        <v/>
      </c>
    </row>
    <row r="459">
      <c r="A459" s="72" t="n"/>
      <c r="B459" s="57" t="n"/>
      <c r="C459" s="57" t="n"/>
      <c r="D459" s="73" t="n"/>
      <c r="E459" s="57" t="n"/>
      <c r="F459" s="57" t="n"/>
      <c r="G459" s="57" t="n"/>
      <c r="H459" s="74">
        <f>IF(C459="","",IF(OR(C459="Received",C459="Transfer In",C459="Adjustment In",C459="Return In"),D459,-D459))</f>
        <v/>
      </c>
    </row>
    <row r="460">
      <c r="A460" s="72" t="n"/>
      <c r="B460" s="57" t="n"/>
      <c r="C460" s="57" t="n"/>
      <c r="D460" s="73" t="n"/>
      <c r="E460" s="57" t="n"/>
      <c r="F460" s="57" t="n"/>
      <c r="G460" s="57" t="n"/>
      <c r="H460" s="74">
        <f>IF(C460="","",IF(OR(C460="Received",C460="Transfer In",C460="Adjustment In",C460="Return In"),D460,-D460))</f>
        <v/>
      </c>
    </row>
    <row r="461">
      <c r="A461" s="72" t="n"/>
      <c r="B461" s="57" t="n"/>
      <c r="C461" s="57" t="n"/>
      <c r="D461" s="73" t="n"/>
      <c r="E461" s="57" t="n"/>
      <c r="F461" s="57" t="n"/>
      <c r="G461" s="57" t="n"/>
      <c r="H461" s="74">
        <f>IF(C461="","",IF(OR(C461="Received",C461="Transfer In",C461="Adjustment In",C461="Return In"),D461,-D461))</f>
        <v/>
      </c>
    </row>
    <row r="462">
      <c r="A462" s="72" t="n"/>
      <c r="B462" s="57" t="n"/>
      <c r="C462" s="57" t="n"/>
      <c r="D462" s="73" t="n"/>
      <c r="E462" s="57" t="n"/>
      <c r="F462" s="57" t="n"/>
      <c r="G462" s="57" t="n"/>
      <c r="H462" s="74">
        <f>IF(C462="","",IF(OR(C462="Received",C462="Transfer In",C462="Adjustment In",C462="Return In"),D462,-D462))</f>
        <v/>
      </c>
    </row>
    <row r="463">
      <c r="A463" s="72" t="n"/>
      <c r="B463" s="57" t="n"/>
      <c r="C463" s="57" t="n"/>
      <c r="D463" s="73" t="n"/>
      <c r="E463" s="57" t="n"/>
      <c r="F463" s="57" t="n"/>
      <c r="G463" s="57" t="n"/>
      <c r="H463" s="74">
        <f>IF(C463="","",IF(OR(C463="Received",C463="Transfer In",C463="Adjustment In",C463="Return In"),D463,-D463))</f>
        <v/>
      </c>
    </row>
    <row r="464">
      <c r="A464" s="72" t="n"/>
      <c r="B464" s="57" t="n"/>
      <c r="C464" s="57" t="n"/>
      <c r="D464" s="73" t="n"/>
      <c r="E464" s="57" t="n"/>
      <c r="F464" s="57" t="n"/>
      <c r="G464" s="57" t="n"/>
      <c r="H464" s="74">
        <f>IF(C464="","",IF(OR(C464="Received",C464="Transfer In",C464="Adjustment In",C464="Return In"),D464,-D464))</f>
        <v/>
      </c>
    </row>
    <row r="465">
      <c r="A465" s="72" t="n"/>
      <c r="B465" s="57" t="n"/>
      <c r="C465" s="57" t="n"/>
      <c r="D465" s="73" t="n"/>
      <c r="E465" s="57" t="n"/>
      <c r="F465" s="57" t="n"/>
      <c r="G465" s="57" t="n"/>
      <c r="H465" s="74">
        <f>IF(C465="","",IF(OR(C465="Received",C465="Transfer In",C465="Adjustment In",C465="Return In"),D465,-D465))</f>
        <v/>
      </c>
    </row>
    <row r="466">
      <c r="A466" s="72" t="n"/>
      <c r="B466" s="57" t="n"/>
      <c r="C466" s="57" t="n"/>
      <c r="D466" s="73" t="n"/>
      <c r="E466" s="57" t="n"/>
      <c r="F466" s="57" t="n"/>
      <c r="G466" s="57" t="n"/>
      <c r="H466" s="74">
        <f>IF(C466="","",IF(OR(C466="Received",C466="Transfer In",C466="Adjustment In",C466="Return In"),D466,-D466))</f>
        <v/>
      </c>
    </row>
    <row r="467">
      <c r="A467" s="72" t="n"/>
      <c r="B467" s="57" t="n"/>
      <c r="C467" s="57" t="n"/>
      <c r="D467" s="73" t="n"/>
      <c r="E467" s="57" t="n"/>
      <c r="F467" s="57" t="n"/>
      <c r="G467" s="57" t="n"/>
      <c r="H467" s="74">
        <f>IF(C467="","",IF(OR(C467="Received",C467="Transfer In",C467="Adjustment In",C467="Return In"),D467,-D467))</f>
        <v/>
      </c>
    </row>
    <row r="468">
      <c r="A468" s="72" t="n"/>
      <c r="B468" s="57" t="n"/>
      <c r="C468" s="57" t="n"/>
      <c r="D468" s="73" t="n"/>
      <c r="E468" s="57" t="n"/>
      <c r="F468" s="57" t="n"/>
      <c r="G468" s="57" t="n"/>
      <c r="H468" s="74">
        <f>IF(C468="","",IF(OR(C468="Received",C468="Transfer In",C468="Adjustment In",C468="Return In"),D468,-D468))</f>
        <v/>
      </c>
    </row>
    <row r="469">
      <c r="A469" s="72" t="n"/>
      <c r="B469" s="57" t="n"/>
      <c r="C469" s="57" t="n"/>
      <c r="D469" s="73" t="n"/>
      <c r="E469" s="57" t="n"/>
      <c r="F469" s="57" t="n"/>
      <c r="G469" s="57" t="n"/>
      <c r="H469" s="74">
        <f>IF(C469="","",IF(OR(C469="Received",C469="Transfer In",C469="Adjustment In",C469="Return In"),D469,-D469))</f>
        <v/>
      </c>
    </row>
    <row r="470">
      <c r="A470" s="72" t="n"/>
      <c r="B470" s="57" t="n"/>
      <c r="C470" s="57" t="n"/>
      <c r="D470" s="73" t="n"/>
      <c r="E470" s="57" t="n"/>
      <c r="F470" s="57" t="n"/>
      <c r="G470" s="57" t="n"/>
      <c r="H470" s="74">
        <f>IF(C470="","",IF(OR(C470="Received",C470="Transfer In",C470="Adjustment In",C470="Return In"),D470,-D470))</f>
        <v/>
      </c>
    </row>
    <row r="471">
      <c r="A471" s="72" t="n"/>
      <c r="B471" s="57" t="n"/>
      <c r="C471" s="57" t="n"/>
      <c r="D471" s="73" t="n"/>
      <c r="E471" s="57" t="n"/>
      <c r="F471" s="57" t="n"/>
      <c r="G471" s="57" t="n"/>
      <c r="H471" s="74">
        <f>IF(C471="","",IF(OR(C471="Received",C471="Transfer In",C471="Adjustment In",C471="Return In"),D471,-D471))</f>
        <v/>
      </c>
    </row>
    <row r="472">
      <c r="A472" s="72" t="n"/>
      <c r="B472" s="57" t="n"/>
      <c r="C472" s="57" t="n"/>
      <c r="D472" s="73" t="n"/>
      <c r="E472" s="57" t="n"/>
      <c r="F472" s="57" t="n"/>
      <c r="G472" s="57" t="n"/>
      <c r="H472" s="74">
        <f>IF(C472="","",IF(OR(C472="Received",C472="Transfer In",C472="Adjustment In",C472="Return In"),D472,-D472))</f>
        <v/>
      </c>
    </row>
    <row r="473">
      <c r="A473" s="72" t="n"/>
      <c r="B473" s="57" t="n"/>
      <c r="C473" s="57" t="n"/>
      <c r="D473" s="73" t="n"/>
      <c r="E473" s="57" t="n"/>
      <c r="F473" s="57" t="n"/>
      <c r="G473" s="57" t="n"/>
      <c r="H473" s="74">
        <f>IF(C473="","",IF(OR(C473="Received",C473="Transfer In",C473="Adjustment In",C473="Return In"),D473,-D473))</f>
        <v/>
      </c>
    </row>
    <row r="474">
      <c r="A474" s="72" t="n"/>
      <c r="B474" s="57" t="n"/>
      <c r="C474" s="57" t="n"/>
      <c r="D474" s="73" t="n"/>
      <c r="E474" s="57" t="n"/>
      <c r="F474" s="57" t="n"/>
      <c r="G474" s="57" t="n"/>
      <c r="H474" s="74">
        <f>IF(C474="","",IF(OR(C474="Received",C474="Transfer In",C474="Adjustment In",C474="Return In"),D474,-D474))</f>
        <v/>
      </c>
    </row>
    <row r="475">
      <c r="A475" s="72" t="n"/>
      <c r="B475" s="57" t="n"/>
      <c r="C475" s="57" t="n"/>
      <c r="D475" s="73" t="n"/>
      <c r="E475" s="57" t="n"/>
      <c r="F475" s="57" t="n"/>
      <c r="G475" s="57" t="n"/>
      <c r="H475" s="74">
        <f>IF(C475="","",IF(OR(C475="Received",C475="Transfer In",C475="Adjustment In",C475="Return In"),D475,-D475))</f>
        <v/>
      </c>
    </row>
    <row r="476">
      <c r="A476" s="72" t="n"/>
      <c r="B476" s="57" t="n"/>
      <c r="C476" s="57" t="n"/>
      <c r="D476" s="73" t="n"/>
      <c r="E476" s="57" t="n"/>
      <c r="F476" s="57" t="n"/>
      <c r="G476" s="57" t="n"/>
      <c r="H476" s="74">
        <f>IF(C476="","",IF(OR(C476="Received",C476="Transfer In",C476="Adjustment In",C476="Return In"),D476,-D476))</f>
        <v/>
      </c>
    </row>
    <row r="477">
      <c r="A477" s="72" t="n"/>
      <c r="B477" s="57" t="n"/>
      <c r="C477" s="57" t="n"/>
      <c r="D477" s="73" t="n"/>
      <c r="E477" s="57" t="n"/>
      <c r="F477" s="57" t="n"/>
      <c r="G477" s="57" t="n"/>
      <c r="H477" s="74">
        <f>IF(C477="","",IF(OR(C477="Received",C477="Transfer In",C477="Adjustment In",C477="Return In"),D477,-D477))</f>
        <v/>
      </c>
    </row>
    <row r="478">
      <c r="A478" s="72" t="n"/>
      <c r="B478" s="57" t="n"/>
      <c r="C478" s="57" t="n"/>
      <c r="D478" s="73" t="n"/>
      <c r="E478" s="57" t="n"/>
      <c r="F478" s="57" t="n"/>
      <c r="G478" s="57" t="n"/>
      <c r="H478" s="74">
        <f>IF(C478="","",IF(OR(C478="Received",C478="Transfer In",C478="Adjustment In",C478="Return In"),D478,-D478))</f>
        <v/>
      </c>
    </row>
    <row r="479">
      <c r="A479" s="72" t="n"/>
      <c r="B479" s="57" t="n"/>
      <c r="C479" s="57" t="n"/>
      <c r="D479" s="73" t="n"/>
      <c r="E479" s="57" t="n"/>
      <c r="F479" s="57" t="n"/>
      <c r="G479" s="57" t="n"/>
      <c r="H479" s="74">
        <f>IF(C479="","",IF(OR(C479="Received",C479="Transfer In",C479="Adjustment In",C479="Return In"),D479,-D479))</f>
        <v/>
      </c>
    </row>
    <row r="480">
      <c r="A480" s="72" t="n"/>
      <c r="B480" s="57" t="n"/>
      <c r="C480" s="57" t="n"/>
      <c r="D480" s="73" t="n"/>
      <c r="E480" s="57" t="n"/>
      <c r="F480" s="57" t="n"/>
      <c r="G480" s="57" t="n"/>
      <c r="H480" s="74">
        <f>IF(C480="","",IF(OR(C480="Received",C480="Transfer In",C480="Adjustment In",C480="Return In"),D480,-D480))</f>
        <v/>
      </c>
    </row>
    <row r="481">
      <c r="A481" s="72" t="n"/>
      <c r="B481" s="57" t="n"/>
      <c r="C481" s="57" t="n"/>
      <c r="D481" s="73" t="n"/>
      <c r="E481" s="57" t="n"/>
      <c r="F481" s="57" t="n"/>
      <c r="G481" s="57" t="n"/>
      <c r="H481" s="74">
        <f>IF(C481="","",IF(OR(C481="Received",C481="Transfer In",C481="Adjustment In",C481="Return In"),D481,-D481))</f>
        <v/>
      </c>
    </row>
    <row r="482">
      <c r="A482" s="72" t="n"/>
      <c r="B482" s="57" t="n"/>
      <c r="C482" s="57" t="n"/>
      <c r="D482" s="73" t="n"/>
      <c r="E482" s="57" t="n"/>
      <c r="F482" s="57" t="n"/>
      <c r="G482" s="57" t="n"/>
      <c r="H482" s="74">
        <f>IF(C482="","",IF(OR(C482="Received",C482="Transfer In",C482="Adjustment In",C482="Return In"),D482,-D482))</f>
        <v/>
      </c>
    </row>
    <row r="483">
      <c r="A483" s="72" t="n"/>
      <c r="B483" s="57" t="n"/>
      <c r="C483" s="57" t="n"/>
      <c r="D483" s="73" t="n"/>
      <c r="E483" s="57" t="n"/>
      <c r="F483" s="57" t="n"/>
      <c r="G483" s="57" t="n"/>
      <c r="H483" s="74">
        <f>IF(C483="","",IF(OR(C483="Received",C483="Transfer In",C483="Adjustment In",C483="Return In"),D483,-D483))</f>
        <v/>
      </c>
    </row>
    <row r="484">
      <c r="A484" s="72" t="n"/>
      <c r="B484" s="57" t="n"/>
      <c r="C484" s="57" t="n"/>
      <c r="D484" s="73" t="n"/>
      <c r="E484" s="57" t="n"/>
      <c r="F484" s="57" t="n"/>
      <c r="G484" s="57" t="n"/>
      <c r="H484" s="74">
        <f>IF(C484="","",IF(OR(C484="Received",C484="Transfer In",C484="Adjustment In",C484="Return In"),D484,-D484))</f>
        <v/>
      </c>
    </row>
    <row r="485">
      <c r="A485" s="72" t="n"/>
      <c r="B485" s="57" t="n"/>
      <c r="C485" s="57" t="n"/>
      <c r="D485" s="73" t="n"/>
      <c r="E485" s="57" t="n"/>
      <c r="F485" s="57" t="n"/>
      <c r="G485" s="57" t="n"/>
      <c r="H485" s="74">
        <f>IF(C485="","",IF(OR(C485="Received",C485="Transfer In",C485="Adjustment In",C485="Return In"),D485,-D485))</f>
        <v/>
      </c>
    </row>
    <row r="486">
      <c r="A486" s="72" t="n"/>
      <c r="B486" s="57" t="n"/>
      <c r="C486" s="57" t="n"/>
      <c r="D486" s="73" t="n"/>
      <c r="E486" s="57" t="n"/>
      <c r="F486" s="57" t="n"/>
      <c r="G486" s="57" t="n"/>
      <c r="H486" s="74">
        <f>IF(C486="","",IF(OR(C486="Received",C486="Transfer In",C486="Adjustment In",C486="Return In"),D486,-D486))</f>
        <v/>
      </c>
    </row>
    <row r="487">
      <c r="A487" s="72" t="n"/>
      <c r="B487" s="57" t="n"/>
      <c r="C487" s="57" t="n"/>
      <c r="D487" s="73" t="n"/>
      <c r="E487" s="57" t="n"/>
      <c r="F487" s="57" t="n"/>
      <c r="G487" s="57" t="n"/>
      <c r="H487" s="74">
        <f>IF(C487="","",IF(OR(C487="Received",C487="Transfer In",C487="Adjustment In",C487="Return In"),D487,-D487))</f>
        <v/>
      </c>
    </row>
    <row r="488">
      <c r="A488" s="72" t="n"/>
      <c r="B488" s="57" t="n"/>
      <c r="C488" s="57" t="n"/>
      <c r="D488" s="73" t="n"/>
      <c r="E488" s="57" t="n"/>
      <c r="F488" s="57" t="n"/>
      <c r="G488" s="57" t="n"/>
      <c r="H488" s="74">
        <f>IF(C488="","",IF(OR(C488="Received",C488="Transfer In",C488="Adjustment In",C488="Return In"),D488,-D488))</f>
        <v/>
      </c>
    </row>
    <row r="489">
      <c r="A489" s="72" t="n"/>
      <c r="B489" s="57" t="n"/>
      <c r="C489" s="57" t="n"/>
      <c r="D489" s="73" t="n"/>
      <c r="E489" s="57" t="n"/>
      <c r="F489" s="57" t="n"/>
      <c r="G489" s="57" t="n"/>
      <c r="H489" s="74">
        <f>IF(C489="","",IF(OR(C489="Received",C489="Transfer In",C489="Adjustment In",C489="Return In"),D489,-D489))</f>
        <v/>
      </c>
    </row>
    <row r="490">
      <c r="A490" s="72" t="n"/>
      <c r="B490" s="57" t="n"/>
      <c r="C490" s="57" t="n"/>
      <c r="D490" s="73" t="n"/>
      <c r="E490" s="57" t="n"/>
      <c r="F490" s="57" t="n"/>
      <c r="G490" s="57" t="n"/>
      <c r="H490" s="74">
        <f>IF(C490="","",IF(OR(C490="Received",C490="Transfer In",C490="Adjustment In",C490="Return In"),D490,-D490))</f>
        <v/>
      </c>
    </row>
    <row r="491">
      <c r="A491" s="72" t="n"/>
      <c r="B491" s="57" t="n"/>
      <c r="C491" s="57" t="n"/>
      <c r="D491" s="73" t="n"/>
      <c r="E491" s="57" t="n"/>
      <c r="F491" s="57" t="n"/>
      <c r="G491" s="57" t="n"/>
      <c r="H491" s="74">
        <f>IF(C491="","",IF(OR(C491="Received",C491="Transfer In",C491="Adjustment In",C491="Return In"),D491,-D491))</f>
        <v/>
      </c>
    </row>
    <row r="492">
      <c r="A492" s="72" t="n"/>
      <c r="B492" s="57" t="n"/>
      <c r="C492" s="57" t="n"/>
      <c r="D492" s="73" t="n"/>
      <c r="E492" s="57" t="n"/>
      <c r="F492" s="57" t="n"/>
      <c r="G492" s="57" t="n"/>
      <c r="H492" s="74">
        <f>IF(C492="","",IF(OR(C492="Received",C492="Transfer In",C492="Adjustment In",C492="Return In"),D492,-D492))</f>
        <v/>
      </c>
    </row>
    <row r="493">
      <c r="A493" s="72" t="n"/>
      <c r="B493" s="57" t="n"/>
      <c r="C493" s="57" t="n"/>
      <c r="D493" s="73" t="n"/>
      <c r="E493" s="57" t="n"/>
      <c r="F493" s="57" t="n"/>
      <c r="G493" s="57" t="n"/>
      <c r="H493" s="74">
        <f>IF(C493="","",IF(OR(C493="Received",C493="Transfer In",C493="Adjustment In",C493="Return In"),D493,-D493))</f>
        <v/>
      </c>
    </row>
    <row r="494">
      <c r="A494" s="72" t="n"/>
      <c r="B494" s="57" t="n"/>
      <c r="C494" s="57" t="n"/>
      <c r="D494" s="73" t="n"/>
      <c r="E494" s="57" t="n"/>
      <c r="F494" s="57" t="n"/>
      <c r="G494" s="57" t="n"/>
      <c r="H494" s="74">
        <f>IF(C494="","",IF(OR(C494="Received",C494="Transfer In",C494="Adjustment In",C494="Return In"),D494,-D494))</f>
        <v/>
      </c>
    </row>
    <row r="495">
      <c r="A495" s="72" t="n"/>
      <c r="B495" s="57" t="n"/>
      <c r="C495" s="57" t="n"/>
      <c r="D495" s="73" t="n"/>
      <c r="E495" s="57" t="n"/>
      <c r="F495" s="57" t="n"/>
      <c r="G495" s="57" t="n"/>
      <c r="H495" s="74">
        <f>IF(C495="","",IF(OR(C495="Received",C495="Transfer In",C495="Adjustment In",C495="Return In"),D495,-D495))</f>
        <v/>
      </c>
    </row>
    <row r="496">
      <c r="A496" s="72" t="n"/>
      <c r="B496" s="57" t="n"/>
      <c r="C496" s="57" t="n"/>
      <c r="D496" s="73" t="n"/>
      <c r="E496" s="57" t="n"/>
      <c r="F496" s="57" t="n"/>
      <c r="G496" s="57" t="n"/>
      <c r="H496" s="74">
        <f>IF(C496="","",IF(OR(C496="Received",C496="Transfer In",C496="Adjustment In",C496="Return In"),D496,-D496))</f>
        <v/>
      </c>
    </row>
    <row r="497">
      <c r="A497" s="72" t="n"/>
      <c r="B497" s="57" t="n"/>
      <c r="C497" s="57" t="n"/>
      <c r="D497" s="73" t="n"/>
      <c r="E497" s="57" t="n"/>
      <c r="F497" s="57" t="n"/>
      <c r="G497" s="57" t="n"/>
      <c r="H497" s="74">
        <f>IF(C497="","",IF(OR(C497="Received",C497="Transfer In",C497="Adjustment In",C497="Return In"),D497,-D497))</f>
        <v/>
      </c>
    </row>
    <row r="498">
      <c r="A498" s="72" t="n"/>
      <c r="B498" s="57" t="n"/>
      <c r="C498" s="57" t="n"/>
      <c r="D498" s="73" t="n"/>
      <c r="E498" s="57" t="n"/>
      <c r="F498" s="57" t="n"/>
      <c r="G498" s="57" t="n"/>
      <c r="H498" s="74">
        <f>IF(C498="","",IF(OR(C498="Received",C498="Transfer In",C498="Adjustment In",C498="Return In"),D498,-D498))</f>
        <v/>
      </c>
    </row>
    <row r="499">
      <c r="A499" s="72" t="n"/>
      <c r="B499" s="57" t="n"/>
      <c r="C499" s="57" t="n"/>
      <c r="D499" s="73" t="n"/>
      <c r="E499" s="57" t="n"/>
      <c r="F499" s="57" t="n"/>
      <c r="G499" s="57" t="n"/>
      <c r="H499" s="74">
        <f>IF(C499="","",IF(OR(C499="Received",C499="Transfer In",C499="Adjustment In",C499="Return In"),D499,-D499))</f>
        <v/>
      </c>
    </row>
    <row r="500">
      <c r="A500" s="72" t="n"/>
      <c r="B500" s="57" t="n"/>
      <c r="C500" s="57" t="n"/>
      <c r="D500" s="73" t="n"/>
      <c r="E500" s="57" t="n"/>
      <c r="F500" s="57" t="n"/>
      <c r="G500" s="57" t="n"/>
      <c r="H500" s="74">
        <f>IF(C500="","",IF(OR(C500="Received",C500="Transfer In",C500="Adjustment In",C500="Return In"),D500,-D500))</f>
        <v/>
      </c>
    </row>
    <row r="501">
      <c r="A501" s="72" t="n"/>
      <c r="B501" s="57" t="n"/>
      <c r="C501" s="57" t="n"/>
      <c r="D501" s="73" t="n"/>
      <c r="E501" s="57" t="n"/>
      <c r="F501" s="57" t="n"/>
      <c r="G501" s="57" t="n"/>
      <c r="H501" s="74">
        <f>IF(C501="","",IF(OR(C501="Received",C501="Transfer In",C501="Adjustment In",C501="Return In"),D501,-D501))</f>
        <v/>
      </c>
    </row>
    <row r="502">
      <c r="A502" s="72" t="n"/>
      <c r="B502" s="57" t="n"/>
      <c r="C502" s="57" t="n"/>
      <c r="D502" s="73" t="n"/>
      <c r="E502" s="57" t="n"/>
      <c r="F502" s="57" t="n"/>
      <c r="G502" s="57" t="n"/>
      <c r="H502" s="74">
        <f>IF(C502="","",IF(OR(C502="Received",C502="Transfer In",C502="Adjustment In",C502="Return In"),D502,-D502))</f>
        <v/>
      </c>
    </row>
    <row r="503">
      <c r="A503" s="72" t="n"/>
      <c r="B503" s="57" t="n"/>
      <c r="C503" s="57" t="n"/>
      <c r="D503" s="73" t="n"/>
      <c r="E503" s="57" t="n"/>
      <c r="F503" s="57" t="n"/>
      <c r="G503" s="57" t="n"/>
      <c r="H503" s="74">
        <f>IF(C503="","",IF(OR(C503="Received",C503="Transfer In",C503="Adjustment In",C503="Return In"),D503,-D503))</f>
        <v/>
      </c>
    </row>
    <row r="504">
      <c r="A504" s="72" t="n"/>
      <c r="B504" s="57" t="n"/>
      <c r="C504" s="57" t="n"/>
      <c r="D504" s="73" t="n"/>
      <c r="E504" s="57" t="n"/>
      <c r="F504" s="57" t="n"/>
      <c r="G504" s="57" t="n"/>
      <c r="H504" s="74">
        <f>IF(C504="","",IF(OR(C504="Received",C504="Transfer In",C504="Adjustment In",C504="Return In"),D504,-D504))</f>
        <v/>
      </c>
    </row>
    <row r="505">
      <c r="A505" s="72" t="n"/>
      <c r="B505" s="57" t="n"/>
      <c r="C505" s="57" t="n"/>
      <c r="D505" s="73" t="n"/>
      <c r="E505" s="57" t="n"/>
      <c r="F505" s="57" t="n"/>
      <c r="G505" s="57" t="n"/>
      <c r="H505" s="74">
        <f>IF(C505="","",IF(OR(C505="Received",C505="Transfer In",C505="Adjustment In",C505="Return In"),D505,-D505))</f>
        <v/>
      </c>
    </row>
    <row r="506">
      <c r="A506" s="72" t="n"/>
      <c r="B506" s="57" t="n"/>
      <c r="C506" s="57" t="n"/>
      <c r="D506" s="73" t="n"/>
      <c r="E506" s="57" t="n"/>
      <c r="F506" s="57" t="n"/>
      <c r="G506" s="57" t="n"/>
      <c r="H506" s="74">
        <f>IF(C506="","",IF(OR(C506="Received",C506="Transfer In",C506="Adjustment In",C506="Return In"),D506,-D506))</f>
        <v/>
      </c>
    </row>
    <row r="507">
      <c r="A507" s="72" t="n"/>
      <c r="B507" s="57" t="n"/>
      <c r="C507" s="57" t="n"/>
      <c r="D507" s="73" t="n"/>
      <c r="E507" s="57" t="n"/>
      <c r="F507" s="57" t="n"/>
      <c r="G507" s="57" t="n"/>
      <c r="H507" s="74">
        <f>IF(C507="","",IF(OR(C507="Received",C507="Transfer In",C507="Adjustment In",C507="Return In"),D507,-D507))</f>
        <v/>
      </c>
    </row>
    <row r="508">
      <c r="A508" s="72" t="n"/>
      <c r="B508" s="57" t="n"/>
      <c r="C508" s="57" t="n"/>
      <c r="D508" s="73" t="n"/>
      <c r="E508" s="57" t="n"/>
      <c r="F508" s="57" t="n"/>
      <c r="G508" s="57" t="n"/>
      <c r="H508" s="74">
        <f>IF(C508="","",IF(OR(C508="Received",C508="Transfer In",C508="Adjustment In",C508="Return In"),D508,-D508))</f>
        <v/>
      </c>
    </row>
    <row r="509">
      <c r="A509" s="72" t="n"/>
      <c r="B509" s="57" t="n"/>
      <c r="C509" s="57" t="n"/>
      <c r="D509" s="73" t="n"/>
      <c r="E509" s="57" t="n"/>
      <c r="F509" s="57" t="n"/>
      <c r="G509" s="57" t="n"/>
      <c r="H509" s="74">
        <f>IF(C509="","",IF(OR(C509="Received",C509="Transfer In",C509="Adjustment In",C509="Return In"),D509,-D509))</f>
        <v/>
      </c>
    </row>
    <row r="510">
      <c r="A510" s="72" t="n"/>
      <c r="B510" s="57" t="n"/>
      <c r="C510" s="57" t="n"/>
      <c r="D510" s="73" t="n"/>
      <c r="E510" s="57" t="n"/>
      <c r="F510" s="57" t="n"/>
      <c r="G510" s="57" t="n"/>
      <c r="H510" s="74">
        <f>IF(C510="","",IF(OR(C510="Received",C510="Transfer In",C510="Adjustment In",C510="Return In"),D510,-D510))</f>
        <v/>
      </c>
    </row>
    <row r="511">
      <c r="A511" s="72" t="n"/>
      <c r="B511" s="57" t="n"/>
      <c r="C511" s="57" t="n"/>
      <c r="D511" s="73" t="n"/>
      <c r="E511" s="57" t="n"/>
      <c r="F511" s="57" t="n"/>
      <c r="G511" s="57" t="n"/>
      <c r="H511" s="74">
        <f>IF(C511="","",IF(OR(C511="Received",C511="Transfer In",C511="Adjustment In",C511="Return In"),D511,-D511))</f>
        <v/>
      </c>
    </row>
    <row r="512">
      <c r="A512" s="72" t="n"/>
      <c r="B512" s="57" t="n"/>
      <c r="C512" s="57" t="n"/>
      <c r="D512" s="73" t="n"/>
      <c r="E512" s="57" t="n"/>
      <c r="F512" s="57" t="n"/>
      <c r="G512" s="57" t="n"/>
      <c r="H512" s="74">
        <f>IF(C512="","",IF(OR(C512="Received",C512="Transfer In",C512="Adjustment In",C512="Return In"),D512,-D512))</f>
        <v/>
      </c>
    </row>
    <row r="513">
      <c r="A513" s="72" t="n"/>
      <c r="B513" s="57" t="n"/>
      <c r="C513" s="57" t="n"/>
      <c r="D513" s="73" t="n"/>
      <c r="E513" s="57" t="n"/>
      <c r="F513" s="57" t="n"/>
      <c r="G513" s="57" t="n"/>
      <c r="H513" s="74">
        <f>IF(C513="","",IF(OR(C513="Received",C513="Transfer In",C513="Adjustment In",C513="Return In"),D513,-D513))</f>
        <v/>
      </c>
    </row>
    <row r="514">
      <c r="A514" s="72" t="n"/>
      <c r="B514" s="57" t="n"/>
      <c r="C514" s="57" t="n"/>
      <c r="D514" s="73" t="n"/>
      <c r="E514" s="57" t="n"/>
      <c r="F514" s="57" t="n"/>
      <c r="G514" s="57" t="n"/>
      <c r="H514" s="74">
        <f>IF(C514="","",IF(OR(C514="Received",C514="Transfer In",C514="Adjustment In",C514="Return In"),D514,-D514))</f>
        <v/>
      </c>
    </row>
    <row r="515">
      <c r="A515" s="72" t="n"/>
      <c r="B515" s="57" t="n"/>
      <c r="C515" s="57" t="n"/>
      <c r="D515" s="73" t="n"/>
      <c r="E515" s="57" t="n"/>
      <c r="F515" s="57" t="n"/>
      <c r="G515" s="57" t="n"/>
      <c r="H515" s="74">
        <f>IF(C515="","",IF(OR(C515="Received",C515="Transfer In",C515="Adjustment In",C515="Return In"),D515,-D515))</f>
        <v/>
      </c>
    </row>
    <row r="516">
      <c r="A516" s="72" t="n"/>
      <c r="B516" s="57" t="n"/>
      <c r="C516" s="57" t="n"/>
      <c r="D516" s="73" t="n"/>
      <c r="E516" s="57" t="n"/>
      <c r="F516" s="57" t="n"/>
      <c r="G516" s="57" t="n"/>
      <c r="H516" s="74">
        <f>IF(C516="","",IF(OR(C516="Received",C516="Transfer In",C516="Adjustment In",C516="Return In"),D516,-D516))</f>
        <v/>
      </c>
    </row>
    <row r="517">
      <c r="A517" s="72" t="n"/>
      <c r="B517" s="57" t="n"/>
      <c r="C517" s="57" t="n"/>
      <c r="D517" s="73" t="n"/>
      <c r="E517" s="57" t="n"/>
      <c r="F517" s="57" t="n"/>
      <c r="G517" s="57" t="n"/>
      <c r="H517" s="74">
        <f>IF(C517="","",IF(OR(C517="Received",C517="Transfer In",C517="Adjustment In",C517="Return In"),D517,-D517))</f>
        <v/>
      </c>
    </row>
    <row r="518">
      <c r="A518" s="72" t="n"/>
      <c r="B518" s="57" t="n"/>
      <c r="C518" s="57" t="n"/>
      <c r="D518" s="73" t="n"/>
      <c r="E518" s="57" t="n"/>
      <c r="F518" s="57" t="n"/>
      <c r="G518" s="57" t="n"/>
      <c r="H518" s="74">
        <f>IF(C518="","",IF(OR(C518="Received",C518="Transfer In",C518="Adjustment In",C518="Return In"),D518,-D518))</f>
        <v/>
      </c>
    </row>
    <row r="519">
      <c r="A519" s="72" t="n"/>
      <c r="B519" s="57" t="n"/>
      <c r="C519" s="57" t="n"/>
      <c r="D519" s="73" t="n"/>
      <c r="E519" s="57" t="n"/>
      <c r="F519" s="57" t="n"/>
      <c r="G519" s="57" t="n"/>
      <c r="H519" s="74">
        <f>IF(C519="","",IF(OR(C519="Received",C519="Transfer In",C519="Adjustment In",C519="Return In"),D519,-D519))</f>
        <v/>
      </c>
    </row>
    <row r="520">
      <c r="A520" s="72" t="n"/>
      <c r="B520" s="57" t="n"/>
      <c r="C520" s="57" t="n"/>
      <c r="D520" s="73" t="n"/>
      <c r="E520" s="57" t="n"/>
      <c r="F520" s="57" t="n"/>
      <c r="G520" s="57" t="n"/>
      <c r="H520" s="74">
        <f>IF(C520="","",IF(OR(C520="Received",C520="Transfer In",C520="Adjustment In",C520="Return In"),D520,-D520))</f>
        <v/>
      </c>
    </row>
    <row r="521">
      <c r="A521" s="72" t="n"/>
      <c r="B521" s="57" t="n"/>
      <c r="C521" s="57" t="n"/>
      <c r="D521" s="73" t="n"/>
      <c r="E521" s="57" t="n"/>
      <c r="F521" s="57" t="n"/>
      <c r="G521" s="57" t="n"/>
      <c r="H521" s="74">
        <f>IF(C521="","",IF(OR(C521="Received",C521="Transfer In",C521="Adjustment In",C521="Return In"),D521,-D521))</f>
        <v/>
      </c>
    </row>
    <row r="522">
      <c r="A522" s="72" t="n"/>
      <c r="B522" s="57" t="n"/>
      <c r="C522" s="57" t="n"/>
      <c r="D522" s="73" t="n"/>
      <c r="E522" s="57" t="n"/>
      <c r="F522" s="57" t="n"/>
      <c r="G522" s="57" t="n"/>
      <c r="H522" s="74">
        <f>IF(C522="","",IF(OR(C522="Received",C522="Transfer In",C522="Adjustment In",C522="Return In"),D522,-D522))</f>
        <v/>
      </c>
    </row>
    <row r="523">
      <c r="A523" s="72" t="n"/>
      <c r="B523" s="57" t="n"/>
      <c r="C523" s="57" t="n"/>
      <c r="D523" s="73" t="n"/>
      <c r="E523" s="57" t="n"/>
      <c r="F523" s="57" t="n"/>
      <c r="G523" s="57" t="n"/>
      <c r="H523" s="74">
        <f>IF(C523="","",IF(OR(C523="Received",C523="Transfer In",C523="Adjustment In",C523="Return In"),D523,-D523))</f>
        <v/>
      </c>
    </row>
    <row r="524">
      <c r="A524" s="72" t="n"/>
      <c r="B524" s="57" t="n"/>
      <c r="C524" s="57" t="n"/>
      <c r="D524" s="73" t="n"/>
      <c r="E524" s="57" t="n"/>
      <c r="F524" s="57" t="n"/>
      <c r="G524" s="57" t="n"/>
      <c r="H524" s="74">
        <f>IF(C524="","",IF(OR(C524="Received",C524="Transfer In",C524="Adjustment In",C524="Return In"),D524,-D524))</f>
        <v/>
      </c>
    </row>
    <row r="525">
      <c r="A525" s="72" t="n"/>
      <c r="B525" s="57" t="n"/>
      <c r="C525" s="57" t="n"/>
      <c r="D525" s="73" t="n"/>
      <c r="E525" s="57" t="n"/>
      <c r="F525" s="57" t="n"/>
      <c r="G525" s="57" t="n"/>
      <c r="H525" s="74">
        <f>IF(C525="","",IF(OR(C525="Received",C525="Transfer In",C525="Adjustment In",C525="Return In"),D525,-D525))</f>
        <v/>
      </c>
    </row>
    <row r="526">
      <c r="A526" s="72" t="n"/>
      <c r="B526" s="57" t="n"/>
      <c r="C526" s="57" t="n"/>
      <c r="D526" s="73" t="n"/>
      <c r="E526" s="57" t="n"/>
      <c r="F526" s="57" t="n"/>
      <c r="G526" s="57" t="n"/>
      <c r="H526" s="74">
        <f>IF(C526="","",IF(OR(C526="Received",C526="Transfer In",C526="Adjustment In",C526="Return In"),D526,-D526))</f>
        <v/>
      </c>
    </row>
    <row r="527">
      <c r="A527" s="72" t="n"/>
      <c r="B527" s="57" t="n"/>
      <c r="C527" s="57" t="n"/>
      <c r="D527" s="73" t="n"/>
      <c r="E527" s="57" t="n"/>
      <c r="F527" s="57" t="n"/>
      <c r="G527" s="57" t="n"/>
      <c r="H527" s="74">
        <f>IF(C527="","",IF(OR(C527="Received",C527="Transfer In",C527="Adjustment In",C527="Return In"),D527,-D527))</f>
        <v/>
      </c>
    </row>
    <row r="528">
      <c r="A528" s="72" t="n"/>
      <c r="B528" s="57" t="n"/>
      <c r="C528" s="57" t="n"/>
      <c r="D528" s="73" t="n"/>
      <c r="E528" s="57" t="n"/>
      <c r="F528" s="57" t="n"/>
      <c r="G528" s="57" t="n"/>
      <c r="H528" s="74">
        <f>IF(C528="","",IF(OR(C528="Received",C528="Transfer In",C528="Adjustment In",C528="Return In"),D528,-D528))</f>
        <v/>
      </c>
    </row>
    <row r="529">
      <c r="A529" s="72" t="n"/>
      <c r="B529" s="57" t="n"/>
      <c r="C529" s="57" t="n"/>
      <c r="D529" s="73" t="n"/>
      <c r="E529" s="57" t="n"/>
      <c r="F529" s="57" t="n"/>
      <c r="G529" s="57" t="n"/>
      <c r="H529" s="74">
        <f>IF(C529="","",IF(OR(C529="Received",C529="Transfer In",C529="Adjustment In",C529="Return In"),D529,-D529))</f>
        <v/>
      </c>
    </row>
    <row r="530">
      <c r="A530" s="72" t="n"/>
      <c r="B530" s="57" t="n"/>
      <c r="C530" s="57" t="n"/>
      <c r="D530" s="73" t="n"/>
      <c r="E530" s="57" t="n"/>
      <c r="F530" s="57" t="n"/>
      <c r="G530" s="57" t="n"/>
      <c r="H530" s="74">
        <f>IF(C530="","",IF(OR(C530="Received",C530="Transfer In",C530="Adjustment In",C530="Return In"),D530,-D530))</f>
        <v/>
      </c>
    </row>
    <row r="531">
      <c r="A531" s="72" t="n"/>
      <c r="B531" s="57" t="n"/>
      <c r="C531" s="57" t="n"/>
      <c r="D531" s="73" t="n"/>
      <c r="E531" s="57" t="n"/>
      <c r="F531" s="57" t="n"/>
      <c r="G531" s="57" t="n"/>
      <c r="H531" s="74">
        <f>IF(C531="","",IF(OR(C531="Received",C531="Transfer In",C531="Adjustment In",C531="Return In"),D531,-D531))</f>
        <v/>
      </c>
    </row>
    <row r="532">
      <c r="A532" s="72" t="n"/>
      <c r="B532" s="57" t="n"/>
      <c r="C532" s="57" t="n"/>
      <c r="D532" s="73" t="n"/>
      <c r="E532" s="57" t="n"/>
      <c r="F532" s="57" t="n"/>
      <c r="G532" s="57" t="n"/>
      <c r="H532" s="74">
        <f>IF(C532="","",IF(OR(C532="Received",C532="Transfer In",C532="Adjustment In",C532="Return In"),D532,-D532))</f>
        <v/>
      </c>
    </row>
    <row r="533">
      <c r="A533" s="72" t="n"/>
      <c r="B533" s="57" t="n"/>
      <c r="C533" s="57" t="n"/>
      <c r="D533" s="73" t="n"/>
      <c r="E533" s="57" t="n"/>
      <c r="F533" s="57" t="n"/>
      <c r="G533" s="57" t="n"/>
      <c r="H533" s="74">
        <f>IF(C533="","",IF(OR(C533="Received",C533="Transfer In",C533="Adjustment In",C533="Return In"),D533,-D533))</f>
        <v/>
      </c>
    </row>
    <row r="534">
      <c r="A534" s="72" t="n"/>
      <c r="B534" s="57" t="n"/>
      <c r="C534" s="57" t="n"/>
      <c r="D534" s="73" t="n"/>
      <c r="E534" s="57" t="n"/>
      <c r="F534" s="57" t="n"/>
      <c r="G534" s="57" t="n"/>
      <c r="H534" s="74">
        <f>IF(C534="","",IF(OR(C534="Received",C534="Transfer In",C534="Adjustment In",C534="Return In"),D534,-D534))</f>
        <v/>
      </c>
    </row>
    <row r="535">
      <c r="A535" s="72" t="n"/>
      <c r="B535" s="57" t="n"/>
      <c r="C535" s="57" t="n"/>
      <c r="D535" s="73" t="n"/>
      <c r="E535" s="57" t="n"/>
      <c r="F535" s="57" t="n"/>
      <c r="G535" s="57" t="n"/>
      <c r="H535" s="74">
        <f>IF(C535="","",IF(OR(C535="Received",C535="Transfer In",C535="Adjustment In",C535="Return In"),D535,-D535))</f>
        <v/>
      </c>
    </row>
    <row r="536">
      <c r="A536" s="72" t="n"/>
      <c r="B536" s="57" t="n"/>
      <c r="C536" s="57" t="n"/>
      <c r="D536" s="73" t="n"/>
      <c r="E536" s="57" t="n"/>
      <c r="F536" s="57" t="n"/>
      <c r="G536" s="57" t="n"/>
      <c r="H536" s="74">
        <f>IF(C536="","",IF(OR(C536="Received",C536="Transfer In",C536="Adjustment In",C536="Return In"),D536,-D536))</f>
        <v/>
      </c>
    </row>
    <row r="537">
      <c r="A537" s="72" t="n"/>
      <c r="B537" s="57" t="n"/>
      <c r="C537" s="57" t="n"/>
      <c r="D537" s="73" t="n"/>
      <c r="E537" s="57" t="n"/>
      <c r="F537" s="57" t="n"/>
      <c r="G537" s="57" t="n"/>
      <c r="H537" s="74">
        <f>IF(C537="","",IF(OR(C537="Received",C537="Transfer In",C537="Adjustment In",C537="Return In"),D537,-D537))</f>
        <v/>
      </c>
    </row>
    <row r="538">
      <c r="A538" s="72" t="n"/>
      <c r="B538" s="57" t="n"/>
      <c r="C538" s="57" t="n"/>
      <c r="D538" s="73" t="n"/>
      <c r="E538" s="57" t="n"/>
      <c r="F538" s="57" t="n"/>
      <c r="G538" s="57" t="n"/>
      <c r="H538" s="74">
        <f>IF(C538="","",IF(OR(C538="Received",C538="Transfer In",C538="Adjustment In",C538="Return In"),D538,-D538))</f>
        <v/>
      </c>
    </row>
    <row r="539">
      <c r="A539" s="72" t="n"/>
      <c r="B539" s="57" t="n"/>
      <c r="C539" s="57" t="n"/>
      <c r="D539" s="73" t="n"/>
      <c r="E539" s="57" t="n"/>
      <c r="F539" s="57" t="n"/>
      <c r="G539" s="57" t="n"/>
      <c r="H539" s="74">
        <f>IF(C539="","",IF(OR(C539="Received",C539="Transfer In",C539="Adjustment In",C539="Return In"),D539,-D539))</f>
        <v/>
      </c>
    </row>
    <row r="540">
      <c r="A540" s="72" t="n"/>
      <c r="B540" s="57" t="n"/>
      <c r="C540" s="57" t="n"/>
      <c r="D540" s="73" t="n"/>
      <c r="E540" s="57" t="n"/>
      <c r="F540" s="57" t="n"/>
      <c r="G540" s="57" t="n"/>
      <c r="H540" s="74">
        <f>IF(C540="","",IF(OR(C540="Received",C540="Transfer In",C540="Adjustment In",C540="Return In"),D540,-D540))</f>
        <v/>
      </c>
    </row>
    <row r="541">
      <c r="A541" s="72" t="n"/>
      <c r="B541" s="57" t="n"/>
      <c r="C541" s="57" t="n"/>
      <c r="D541" s="73" t="n"/>
      <c r="E541" s="57" t="n"/>
      <c r="F541" s="57" t="n"/>
      <c r="G541" s="57" t="n"/>
      <c r="H541" s="74">
        <f>IF(C541="","",IF(OR(C541="Received",C541="Transfer In",C541="Adjustment In",C541="Return In"),D541,-D541))</f>
        <v/>
      </c>
    </row>
    <row r="542">
      <c r="A542" s="72" t="n"/>
      <c r="B542" s="57" t="n"/>
      <c r="C542" s="57" t="n"/>
      <c r="D542" s="73" t="n"/>
      <c r="E542" s="57" t="n"/>
      <c r="F542" s="57" t="n"/>
      <c r="G542" s="57" t="n"/>
      <c r="H542" s="74">
        <f>IF(C542="","",IF(OR(C542="Received",C542="Transfer In",C542="Adjustment In",C542="Return In"),D542,-D542))</f>
        <v/>
      </c>
    </row>
    <row r="543">
      <c r="A543" s="72" t="n"/>
      <c r="B543" s="57" t="n"/>
      <c r="C543" s="57" t="n"/>
      <c r="D543" s="73" t="n"/>
      <c r="E543" s="57" t="n"/>
      <c r="F543" s="57" t="n"/>
      <c r="G543" s="57" t="n"/>
      <c r="H543" s="74">
        <f>IF(C543="","",IF(OR(C543="Received",C543="Transfer In",C543="Adjustment In",C543="Return In"),D543,-D543))</f>
        <v/>
      </c>
    </row>
    <row r="544">
      <c r="A544" s="72" t="n"/>
      <c r="B544" s="57" t="n"/>
      <c r="C544" s="57" t="n"/>
      <c r="D544" s="73" t="n"/>
      <c r="E544" s="57" t="n"/>
      <c r="F544" s="57" t="n"/>
      <c r="G544" s="57" t="n"/>
      <c r="H544" s="74">
        <f>IF(C544="","",IF(OR(C544="Received",C544="Transfer In",C544="Adjustment In",C544="Return In"),D544,-D544))</f>
        <v/>
      </c>
    </row>
    <row r="545">
      <c r="A545" s="72" t="n"/>
      <c r="B545" s="57" t="n"/>
      <c r="C545" s="57" t="n"/>
      <c r="D545" s="73" t="n"/>
      <c r="E545" s="57" t="n"/>
      <c r="F545" s="57" t="n"/>
      <c r="G545" s="57" t="n"/>
      <c r="H545" s="74">
        <f>IF(C545="","",IF(OR(C545="Received",C545="Transfer In",C545="Adjustment In",C545="Return In"),D545,-D545))</f>
        <v/>
      </c>
    </row>
    <row r="546">
      <c r="A546" s="72" t="n"/>
      <c r="B546" s="57" t="n"/>
      <c r="C546" s="57" t="n"/>
      <c r="D546" s="73" t="n"/>
      <c r="E546" s="57" t="n"/>
      <c r="F546" s="57" t="n"/>
      <c r="G546" s="57" t="n"/>
      <c r="H546" s="74">
        <f>IF(C546="","",IF(OR(C546="Received",C546="Transfer In",C546="Adjustment In",C546="Return In"),D546,-D546))</f>
        <v/>
      </c>
    </row>
    <row r="547">
      <c r="A547" s="72" t="n"/>
      <c r="B547" s="57" t="n"/>
      <c r="C547" s="57" t="n"/>
      <c r="D547" s="73" t="n"/>
      <c r="E547" s="57" t="n"/>
      <c r="F547" s="57" t="n"/>
      <c r="G547" s="57" t="n"/>
      <c r="H547" s="74">
        <f>IF(C547="","",IF(OR(C547="Received",C547="Transfer In",C547="Adjustment In",C547="Return In"),D547,-D547))</f>
        <v/>
      </c>
    </row>
    <row r="548">
      <c r="A548" s="72" t="n"/>
      <c r="B548" s="57" t="n"/>
      <c r="C548" s="57" t="n"/>
      <c r="D548" s="73" t="n"/>
      <c r="E548" s="57" t="n"/>
      <c r="F548" s="57" t="n"/>
      <c r="G548" s="57" t="n"/>
      <c r="H548" s="74">
        <f>IF(C548="","",IF(OR(C548="Received",C548="Transfer In",C548="Adjustment In",C548="Return In"),D548,-D548))</f>
        <v/>
      </c>
    </row>
    <row r="549">
      <c r="A549" s="72" t="n"/>
      <c r="B549" s="57" t="n"/>
      <c r="C549" s="57" t="n"/>
      <c r="D549" s="73" t="n"/>
      <c r="E549" s="57" t="n"/>
      <c r="F549" s="57" t="n"/>
      <c r="G549" s="57" t="n"/>
      <c r="H549" s="74">
        <f>IF(C549="","",IF(OR(C549="Received",C549="Transfer In",C549="Adjustment In",C549="Return In"),D549,-D549))</f>
        <v/>
      </c>
    </row>
    <row r="550">
      <c r="A550" s="72" t="n"/>
      <c r="B550" s="57" t="n"/>
      <c r="C550" s="57" t="n"/>
      <c r="D550" s="73" t="n"/>
      <c r="E550" s="57" t="n"/>
      <c r="F550" s="57" t="n"/>
      <c r="G550" s="57" t="n"/>
      <c r="H550" s="74">
        <f>IF(C550="","",IF(OR(C550="Received",C550="Transfer In",C550="Adjustment In",C550="Return In"),D550,-D550))</f>
        <v/>
      </c>
    </row>
    <row r="551">
      <c r="A551" s="72" t="n"/>
      <c r="B551" s="57" t="n"/>
      <c r="C551" s="57" t="n"/>
      <c r="D551" s="73" t="n"/>
      <c r="E551" s="57" t="n"/>
      <c r="F551" s="57" t="n"/>
      <c r="G551" s="57" t="n"/>
      <c r="H551" s="74">
        <f>IF(C551="","",IF(OR(C551="Received",C551="Transfer In",C551="Adjustment In",C551="Return In"),D551,-D551))</f>
        <v/>
      </c>
    </row>
    <row r="552">
      <c r="A552" s="72" t="n"/>
      <c r="B552" s="57" t="n"/>
      <c r="C552" s="57" t="n"/>
      <c r="D552" s="73" t="n"/>
      <c r="E552" s="57" t="n"/>
      <c r="F552" s="57" t="n"/>
      <c r="G552" s="57" t="n"/>
      <c r="H552" s="74">
        <f>IF(C552="","",IF(OR(C552="Received",C552="Transfer In",C552="Adjustment In",C552="Return In"),D552,-D552))</f>
        <v/>
      </c>
    </row>
    <row r="553">
      <c r="A553" s="72" t="n"/>
      <c r="B553" s="57" t="n"/>
      <c r="C553" s="57" t="n"/>
      <c r="D553" s="73" t="n"/>
      <c r="E553" s="57" t="n"/>
      <c r="F553" s="57" t="n"/>
      <c r="G553" s="57" t="n"/>
      <c r="H553" s="74">
        <f>IF(C553="","",IF(OR(C553="Received",C553="Transfer In",C553="Adjustment In",C553="Return In"),D553,-D553))</f>
        <v/>
      </c>
    </row>
    <row r="554">
      <c r="A554" s="72" t="n"/>
      <c r="B554" s="57" t="n"/>
      <c r="C554" s="57" t="n"/>
      <c r="D554" s="73" t="n"/>
      <c r="E554" s="57" t="n"/>
      <c r="F554" s="57" t="n"/>
      <c r="G554" s="57" t="n"/>
      <c r="H554" s="74">
        <f>IF(C554="","",IF(OR(C554="Received",C554="Transfer In",C554="Adjustment In",C554="Return In"),D554,-D554))</f>
        <v/>
      </c>
    </row>
    <row r="555">
      <c r="A555" s="72" t="n"/>
      <c r="B555" s="57" t="n"/>
      <c r="C555" s="57" t="n"/>
      <c r="D555" s="73" t="n"/>
      <c r="E555" s="57" t="n"/>
      <c r="F555" s="57" t="n"/>
      <c r="G555" s="57" t="n"/>
      <c r="H555" s="74">
        <f>IF(C555="","",IF(OR(C555="Received",C555="Transfer In",C555="Adjustment In",C555="Return In"),D555,-D555))</f>
        <v/>
      </c>
    </row>
    <row r="556">
      <c r="A556" s="72" t="n"/>
      <c r="B556" s="57" t="n"/>
      <c r="C556" s="57" t="n"/>
      <c r="D556" s="73" t="n"/>
      <c r="E556" s="57" t="n"/>
      <c r="F556" s="57" t="n"/>
      <c r="G556" s="57" t="n"/>
      <c r="H556" s="74">
        <f>IF(C556="","",IF(OR(C556="Received",C556="Transfer In",C556="Adjustment In",C556="Return In"),D556,-D556))</f>
        <v/>
      </c>
    </row>
    <row r="557">
      <c r="A557" s="72" t="n"/>
      <c r="B557" s="57" t="n"/>
      <c r="C557" s="57" t="n"/>
      <c r="D557" s="73" t="n"/>
      <c r="E557" s="57" t="n"/>
      <c r="F557" s="57" t="n"/>
      <c r="G557" s="57" t="n"/>
      <c r="H557" s="74">
        <f>IF(C557="","",IF(OR(C557="Received",C557="Transfer In",C557="Adjustment In",C557="Return In"),D557,-D557))</f>
        <v/>
      </c>
    </row>
    <row r="558">
      <c r="A558" s="72" t="n"/>
      <c r="B558" s="57" t="n"/>
      <c r="C558" s="57" t="n"/>
      <c r="D558" s="73" t="n"/>
      <c r="E558" s="57" t="n"/>
      <c r="F558" s="57" t="n"/>
      <c r="G558" s="57" t="n"/>
      <c r="H558" s="74">
        <f>IF(C558="","",IF(OR(C558="Received",C558="Transfer In",C558="Adjustment In",C558="Return In"),D558,-D558))</f>
        <v/>
      </c>
    </row>
    <row r="559">
      <c r="A559" s="72" t="n"/>
      <c r="B559" s="57" t="n"/>
      <c r="C559" s="57" t="n"/>
      <c r="D559" s="73" t="n"/>
      <c r="E559" s="57" t="n"/>
      <c r="F559" s="57" t="n"/>
      <c r="G559" s="57" t="n"/>
      <c r="H559" s="74">
        <f>IF(C559="","",IF(OR(C559="Received",C559="Transfer In",C559="Adjustment In",C559="Return In"),D559,-D559))</f>
        <v/>
      </c>
    </row>
    <row r="560">
      <c r="A560" s="72" t="n"/>
      <c r="B560" s="57" t="n"/>
      <c r="C560" s="57" t="n"/>
      <c r="D560" s="73" t="n"/>
      <c r="E560" s="57" t="n"/>
      <c r="F560" s="57" t="n"/>
      <c r="G560" s="57" t="n"/>
      <c r="H560" s="74">
        <f>IF(C560="","",IF(OR(C560="Received",C560="Transfer In",C560="Adjustment In",C560="Return In"),D560,-D560))</f>
        <v/>
      </c>
    </row>
    <row r="561">
      <c r="A561" s="72" t="n"/>
      <c r="B561" s="57" t="n"/>
      <c r="C561" s="57" t="n"/>
      <c r="D561" s="73" t="n"/>
      <c r="E561" s="57" t="n"/>
      <c r="F561" s="57" t="n"/>
      <c r="G561" s="57" t="n"/>
      <c r="H561" s="74">
        <f>IF(C561="","",IF(OR(C561="Received",C561="Transfer In",C561="Adjustment In",C561="Return In"),D561,-D561))</f>
        <v/>
      </c>
    </row>
    <row r="562">
      <c r="A562" s="72" t="n"/>
      <c r="B562" s="57" t="n"/>
      <c r="C562" s="57" t="n"/>
      <c r="D562" s="73" t="n"/>
      <c r="E562" s="57" t="n"/>
      <c r="F562" s="57" t="n"/>
      <c r="G562" s="57" t="n"/>
      <c r="H562" s="74">
        <f>IF(C562="","",IF(OR(C562="Received",C562="Transfer In",C562="Adjustment In",C562="Return In"),D562,-D562))</f>
        <v/>
      </c>
    </row>
    <row r="563">
      <c r="A563" s="72" t="n"/>
      <c r="B563" s="57" t="n"/>
      <c r="C563" s="57" t="n"/>
      <c r="D563" s="73" t="n"/>
      <c r="E563" s="57" t="n"/>
      <c r="F563" s="57" t="n"/>
      <c r="G563" s="57" t="n"/>
      <c r="H563" s="74">
        <f>IF(C563="","",IF(OR(C563="Received",C563="Transfer In",C563="Adjustment In",C563="Return In"),D563,-D563))</f>
        <v/>
      </c>
    </row>
    <row r="564">
      <c r="A564" s="72" t="n"/>
      <c r="B564" s="57" t="n"/>
      <c r="C564" s="57" t="n"/>
      <c r="D564" s="73" t="n"/>
      <c r="E564" s="57" t="n"/>
      <c r="F564" s="57" t="n"/>
      <c r="G564" s="57" t="n"/>
      <c r="H564" s="74">
        <f>IF(C564="","",IF(OR(C564="Received",C564="Transfer In",C564="Adjustment In",C564="Return In"),D564,-D564))</f>
        <v/>
      </c>
    </row>
    <row r="565">
      <c r="A565" s="72" t="n"/>
      <c r="B565" s="57" t="n"/>
      <c r="C565" s="57" t="n"/>
      <c r="D565" s="73" t="n"/>
      <c r="E565" s="57" t="n"/>
      <c r="F565" s="57" t="n"/>
      <c r="G565" s="57" t="n"/>
      <c r="H565" s="74">
        <f>IF(C565="","",IF(OR(C565="Received",C565="Transfer In",C565="Adjustment In",C565="Return In"),D565,-D565))</f>
        <v/>
      </c>
    </row>
    <row r="566">
      <c r="A566" s="72" t="n"/>
      <c r="B566" s="57" t="n"/>
      <c r="C566" s="57" t="n"/>
      <c r="D566" s="73" t="n"/>
      <c r="E566" s="57" t="n"/>
      <c r="F566" s="57" t="n"/>
      <c r="G566" s="57" t="n"/>
      <c r="H566" s="74">
        <f>IF(C566="","",IF(OR(C566="Received",C566="Transfer In",C566="Adjustment In",C566="Return In"),D566,-D566))</f>
        <v/>
      </c>
    </row>
    <row r="567">
      <c r="A567" s="72" t="n"/>
      <c r="B567" s="57" t="n"/>
      <c r="C567" s="57" t="n"/>
      <c r="D567" s="73" t="n"/>
      <c r="E567" s="57" t="n"/>
      <c r="F567" s="57" t="n"/>
      <c r="G567" s="57" t="n"/>
      <c r="H567" s="74">
        <f>IF(C567="","",IF(OR(C567="Received",C567="Transfer In",C567="Adjustment In",C567="Return In"),D567,-D567))</f>
        <v/>
      </c>
    </row>
    <row r="568">
      <c r="A568" s="72" t="n"/>
      <c r="B568" s="57" t="n"/>
      <c r="C568" s="57" t="n"/>
      <c r="D568" s="73" t="n"/>
      <c r="E568" s="57" t="n"/>
      <c r="F568" s="57" t="n"/>
      <c r="G568" s="57" t="n"/>
      <c r="H568" s="74">
        <f>IF(C568="","",IF(OR(C568="Received",C568="Transfer In",C568="Adjustment In",C568="Return In"),D568,-D568))</f>
        <v/>
      </c>
    </row>
    <row r="569">
      <c r="A569" s="72" t="n"/>
      <c r="B569" s="57" t="n"/>
      <c r="C569" s="57" t="n"/>
      <c r="D569" s="73" t="n"/>
      <c r="E569" s="57" t="n"/>
      <c r="F569" s="57" t="n"/>
      <c r="G569" s="57" t="n"/>
      <c r="H569" s="74">
        <f>IF(C569="","",IF(OR(C569="Received",C569="Transfer In",C569="Adjustment In",C569="Return In"),D569,-D569))</f>
        <v/>
      </c>
    </row>
    <row r="570">
      <c r="A570" s="72" t="n"/>
      <c r="B570" s="57" t="n"/>
      <c r="C570" s="57" t="n"/>
      <c r="D570" s="73" t="n"/>
      <c r="E570" s="57" t="n"/>
      <c r="F570" s="57" t="n"/>
      <c r="G570" s="57" t="n"/>
      <c r="H570" s="74">
        <f>IF(C570="","",IF(OR(C570="Received",C570="Transfer In",C570="Adjustment In",C570="Return In"),D570,-D570))</f>
        <v/>
      </c>
    </row>
    <row r="571">
      <c r="A571" s="72" t="n"/>
      <c r="B571" s="57" t="n"/>
      <c r="C571" s="57" t="n"/>
      <c r="D571" s="73" t="n"/>
      <c r="E571" s="57" t="n"/>
      <c r="F571" s="57" t="n"/>
      <c r="G571" s="57" t="n"/>
      <c r="H571" s="74">
        <f>IF(C571="","",IF(OR(C571="Received",C571="Transfer In",C571="Adjustment In",C571="Return In"),D571,-D571))</f>
        <v/>
      </c>
    </row>
    <row r="572">
      <c r="A572" s="72" t="n"/>
      <c r="B572" s="57" t="n"/>
      <c r="C572" s="57" t="n"/>
      <c r="D572" s="73" t="n"/>
      <c r="E572" s="57" t="n"/>
      <c r="F572" s="57" t="n"/>
      <c r="G572" s="57" t="n"/>
      <c r="H572" s="74">
        <f>IF(C572="","",IF(OR(C572="Received",C572="Transfer In",C572="Adjustment In",C572="Return In"),D572,-D572))</f>
        <v/>
      </c>
    </row>
    <row r="573">
      <c r="A573" s="72" t="n"/>
      <c r="B573" s="57" t="n"/>
      <c r="C573" s="57" t="n"/>
      <c r="D573" s="73" t="n"/>
      <c r="E573" s="57" t="n"/>
      <c r="F573" s="57" t="n"/>
      <c r="G573" s="57" t="n"/>
      <c r="H573" s="74">
        <f>IF(C573="","",IF(OR(C573="Received",C573="Transfer In",C573="Adjustment In",C573="Return In"),D573,-D573))</f>
        <v/>
      </c>
    </row>
    <row r="574">
      <c r="A574" s="72" t="n"/>
      <c r="B574" s="57" t="n"/>
      <c r="C574" s="57" t="n"/>
      <c r="D574" s="73" t="n"/>
      <c r="E574" s="57" t="n"/>
      <c r="F574" s="57" t="n"/>
      <c r="G574" s="57" t="n"/>
      <c r="H574" s="74">
        <f>IF(C574="","",IF(OR(C574="Received",C574="Transfer In",C574="Adjustment In",C574="Return In"),D574,-D574))</f>
        <v/>
      </c>
    </row>
    <row r="575">
      <c r="A575" s="72" t="n"/>
      <c r="B575" s="57" t="n"/>
      <c r="C575" s="57" t="n"/>
      <c r="D575" s="73" t="n"/>
      <c r="E575" s="57" t="n"/>
      <c r="F575" s="57" t="n"/>
      <c r="G575" s="57" t="n"/>
      <c r="H575" s="74">
        <f>IF(C575="","",IF(OR(C575="Received",C575="Transfer In",C575="Adjustment In",C575="Return In"),D575,-D575))</f>
        <v/>
      </c>
    </row>
    <row r="576">
      <c r="A576" s="72" t="n"/>
      <c r="B576" s="57" t="n"/>
      <c r="C576" s="57" t="n"/>
      <c r="D576" s="73" t="n"/>
      <c r="E576" s="57" t="n"/>
      <c r="F576" s="57" t="n"/>
      <c r="G576" s="57" t="n"/>
      <c r="H576" s="74">
        <f>IF(C576="","",IF(OR(C576="Received",C576="Transfer In",C576="Adjustment In",C576="Return In"),D576,-D576))</f>
        <v/>
      </c>
    </row>
    <row r="577">
      <c r="A577" s="72" t="n"/>
      <c r="B577" s="57" t="n"/>
      <c r="C577" s="57" t="n"/>
      <c r="D577" s="73" t="n"/>
      <c r="E577" s="57" t="n"/>
      <c r="F577" s="57" t="n"/>
      <c r="G577" s="57" t="n"/>
      <c r="H577" s="74">
        <f>IF(C577="","",IF(OR(C577="Received",C577="Transfer In",C577="Adjustment In",C577="Return In"),D577,-D577))</f>
        <v/>
      </c>
    </row>
    <row r="578">
      <c r="A578" s="72" t="n"/>
      <c r="B578" s="57" t="n"/>
      <c r="C578" s="57" t="n"/>
      <c r="D578" s="73" t="n"/>
      <c r="E578" s="57" t="n"/>
      <c r="F578" s="57" t="n"/>
      <c r="G578" s="57" t="n"/>
      <c r="H578" s="74">
        <f>IF(C578="","",IF(OR(C578="Received",C578="Transfer In",C578="Adjustment In",C578="Return In"),D578,-D578))</f>
        <v/>
      </c>
    </row>
    <row r="579">
      <c r="A579" s="72" t="n"/>
      <c r="B579" s="57" t="n"/>
      <c r="C579" s="57" t="n"/>
      <c r="D579" s="73" t="n"/>
      <c r="E579" s="57" t="n"/>
      <c r="F579" s="57" t="n"/>
      <c r="G579" s="57" t="n"/>
      <c r="H579" s="74">
        <f>IF(C579="","",IF(OR(C579="Received",C579="Transfer In",C579="Adjustment In",C579="Return In"),D579,-D579))</f>
        <v/>
      </c>
    </row>
    <row r="580">
      <c r="A580" s="72" t="n"/>
      <c r="B580" s="57" t="n"/>
      <c r="C580" s="57" t="n"/>
      <c r="D580" s="73" t="n"/>
      <c r="E580" s="57" t="n"/>
      <c r="F580" s="57" t="n"/>
      <c r="G580" s="57" t="n"/>
      <c r="H580" s="74">
        <f>IF(C580="","",IF(OR(C580="Received",C580="Transfer In",C580="Adjustment In",C580="Return In"),D580,-D580))</f>
        <v/>
      </c>
    </row>
    <row r="581">
      <c r="A581" s="72" t="n"/>
      <c r="B581" s="57" t="n"/>
      <c r="C581" s="57" t="n"/>
      <c r="D581" s="73" t="n"/>
      <c r="E581" s="57" t="n"/>
      <c r="F581" s="57" t="n"/>
      <c r="G581" s="57" t="n"/>
      <c r="H581" s="74">
        <f>IF(C581="","",IF(OR(C581="Received",C581="Transfer In",C581="Adjustment In",C581="Return In"),D581,-D581))</f>
        <v/>
      </c>
    </row>
    <row r="582">
      <c r="A582" s="72" t="n"/>
      <c r="B582" s="57" t="n"/>
      <c r="C582" s="57" t="n"/>
      <c r="D582" s="73" t="n"/>
      <c r="E582" s="57" t="n"/>
      <c r="F582" s="57" t="n"/>
      <c r="G582" s="57" t="n"/>
      <c r="H582" s="74">
        <f>IF(C582="","",IF(OR(C582="Received",C582="Transfer In",C582="Adjustment In",C582="Return In"),D582,-D582))</f>
        <v/>
      </c>
    </row>
    <row r="583">
      <c r="A583" s="72" t="n"/>
      <c r="B583" s="57" t="n"/>
      <c r="C583" s="57" t="n"/>
      <c r="D583" s="73" t="n"/>
      <c r="E583" s="57" t="n"/>
      <c r="F583" s="57" t="n"/>
      <c r="G583" s="57" t="n"/>
      <c r="H583" s="74">
        <f>IF(C583="","",IF(OR(C583="Received",C583="Transfer In",C583="Adjustment In",C583="Return In"),D583,-D583))</f>
        <v/>
      </c>
    </row>
    <row r="584">
      <c r="A584" s="72" t="n"/>
      <c r="B584" s="57" t="n"/>
      <c r="C584" s="57" t="n"/>
      <c r="D584" s="73" t="n"/>
      <c r="E584" s="57" t="n"/>
      <c r="F584" s="57" t="n"/>
      <c r="G584" s="57" t="n"/>
      <c r="H584" s="74">
        <f>IF(C584="","",IF(OR(C584="Received",C584="Transfer In",C584="Adjustment In",C584="Return In"),D584,-D584))</f>
        <v/>
      </c>
    </row>
    <row r="585">
      <c r="A585" s="72" t="n"/>
      <c r="B585" s="57" t="n"/>
      <c r="C585" s="57" t="n"/>
      <c r="D585" s="73" t="n"/>
      <c r="E585" s="57" t="n"/>
      <c r="F585" s="57" t="n"/>
      <c r="G585" s="57" t="n"/>
      <c r="H585" s="74">
        <f>IF(C585="","",IF(OR(C585="Received",C585="Transfer In",C585="Adjustment In",C585="Return In"),D585,-D585))</f>
        <v/>
      </c>
    </row>
    <row r="586">
      <c r="A586" s="72" t="n"/>
      <c r="B586" s="57" t="n"/>
      <c r="C586" s="57" t="n"/>
      <c r="D586" s="73" t="n"/>
      <c r="E586" s="57" t="n"/>
      <c r="F586" s="57" t="n"/>
      <c r="G586" s="57" t="n"/>
      <c r="H586" s="74">
        <f>IF(C586="","",IF(OR(C586="Received",C586="Transfer In",C586="Adjustment In",C586="Return In"),D586,-D586))</f>
        <v/>
      </c>
    </row>
    <row r="587">
      <c r="A587" s="72" t="n"/>
      <c r="B587" s="57" t="n"/>
      <c r="C587" s="57" t="n"/>
      <c r="D587" s="73" t="n"/>
      <c r="E587" s="57" t="n"/>
      <c r="F587" s="57" t="n"/>
      <c r="G587" s="57" t="n"/>
      <c r="H587" s="74">
        <f>IF(C587="","",IF(OR(C587="Received",C587="Transfer In",C587="Adjustment In",C587="Return In"),D587,-D587))</f>
        <v/>
      </c>
    </row>
    <row r="588">
      <c r="A588" s="72" t="n"/>
      <c r="B588" s="57" t="n"/>
      <c r="C588" s="57" t="n"/>
      <c r="D588" s="73" t="n"/>
      <c r="E588" s="57" t="n"/>
      <c r="F588" s="57" t="n"/>
      <c r="G588" s="57" t="n"/>
      <c r="H588" s="74">
        <f>IF(C588="","",IF(OR(C588="Received",C588="Transfer In",C588="Adjustment In",C588="Return In"),D588,-D588))</f>
        <v/>
      </c>
    </row>
    <row r="589">
      <c r="A589" s="72" t="n"/>
      <c r="B589" s="57" t="n"/>
      <c r="C589" s="57" t="n"/>
      <c r="D589" s="73" t="n"/>
      <c r="E589" s="57" t="n"/>
      <c r="F589" s="57" t="n"/>
      <c r="G589" s="57" t="n"/>
      <c r="H589" s="74">
        <f>IF(C589="","",IF(OR(C589="Received",C589="Transfer In",C589="Adjustment In",C589="Return In"),D589,-D589))</f>
        <v/>
      </c>
    </row>
    <row r="590">
      <c r="A590" s="72" t="n"/>
      <c r="B590" s="57" t="n"/>
      <c r="C590" s="57" t="n"/>
      <c r="D590" s="73" t="n"/>
      <c r="E590" s="57" t="n"/>
      <c r="F590" s="57" t="n"/>
      <c r="G590" s="57" t="n"/>
      <c r="H590" s="74">
        <f>IF(C590="","",IF(OR(C590="Received",C590="Transfer In",C590="Adjustment In",C590="Return In"),D590,-D590))</f>
        <v/>
      </c>
    </row>
    <row r="591">
      <c r="A591" s="72" t="n"/>
      <c r="B591" s="57" t="n"/>
      <c r="C591" s="57" t="n"/>
      <c r="D591" s="73" t="n"/>
      <c r="E591" s="57" t="n"/>
      <c r="F591" s="57" t="n"/>
      <c r="G591" s="57" t="n"/>
      <c r="H591" s="74">
        <f>IF(C591="","",IF(OR(C591="Received",C591="Transfer In",C591="Adjustment In",C591="Return In"),D591,-D591))</f>
        <v/>
      </c>
    </row>
    <row r="592">
      <c r="A592" s="72" t="n"/>
      <c r="B592" s="57" t="n"/>
      <c r="C592" s="57" t="n"/>
      <c r="D592" s="73" t="n"/>
      <c r="E592" s="57" t="n"/>
      <c r="F592" s="57" t="n"/>
      <c r="G592" s="57" t="n"/>
      <c r="H592" s="74">
        <f>IF(C592="","",IF(OR(C592="Received",C592="Transfer In",C592="Adjustment In",C592="Return In"),D592,-D592))</f>
        <v/>
      </c>
    </row>
    <row r="593">
      <c r="A593" s="72" t="n"/>
      <c r="B593" s="57" t="n"/>
      <c r="C593" s="57" t="n"/>
      <c r="D593" s="73" t="n"/>
      <c r="E593" s="57" t="n"/>
      <c r="F593" s="57" t="n"/>
      <c r="G593" s="57" t="n"/>
      <c r="H593" s="74">
        <f>IF(C593="","",IF(OR(C593="Received",C593="Transfer In",C593="Adjustment In",C593="Return In"),D593,-D593))</f>
        <v/>
      </c>
    </row>
    <row r="594">
      <c r="A594" s="72" t="n"/>
      <c r="B594" s="57" t="n"/>
      <c r="C594" s="57" t="n"/>
      <c r="D594" s="73" t="n"/>
      <c r="E594" s="57" t="n"/>
      <c r="F594" s="57" t="n"/>
      <c r="G594" s="57" t="n"/>
      <c r="H594" s="74">
        <f>IF(C594="","",IF(OR(C594="Received",C594="Transfer In",C594="Adjustment In",C594="Return In"),D594,-D594))</f>
        <v/>
      </c>
    </row>
    <row r="595">
      <c r="A595" s="72" t="n"/>
      <c r="B595" s="57" t="n"/>
      <c r="C595" s="57" t="n"/>
      <c r="D595" s="73" t="n"/>
      <c r="E595" s="57" t="n"/>
      <c r="F595" s="57" t="n"/>
      <c r="G595" s="57" t="n"/>
      <c r="H595" s="74">
        <f>IF(C595="","",IF(OR(C595="Received",C595="Transfer In",C595="Adjustment In",C595="Return In"),D595,-D595))</f>
        <v/>
      </c>
    </row>
    <row r="596">
      <c r="A596" s="72" t="n"/>
      <c r="B596" s="57" t="n"/>
      <c r="C596" s="57" t="n"/>
      <c r="D596" s="73" t="n"/>
      <c r="E596" s="57" t="n"/>
      <c r="F596" s="57" t="n"/>
      <c r="G596" s="57" t="n"/>
      <c r="H596" s="74">
        <f>IF(C596="","",IF(OR(C596="Received",C596="Transfer In",C596="Adjustment In",C596="Return In"),D596,-D596))</f>
        <v/>
      </c>
    </row>
    <row r="597">
      <c r="A597" s="72" t="n"/>
      <c r="B597" s="57" t="n"/>
      <c r="C597" s="57" t="n"/>
      <c r="D597" s="73" t="n"/>
      <c r="E597" s="57" t="n"/>
      <c r="F597" s="57" t="n"/>
      <c r="G597" s="57" t="n"/>
      <c r="H597" s="74">
        <f>IF(C597="","",IF(OR(C597="Received",C597="Transfer In",C597="Adjustment In",C597="Return In"),D597,-D597))</f>
        <v/>
      </c>
    </row>
    <row r="598">
      <c r="A598" s="72" t="n"/>
      <c r="B598" s="57" t="n"/>
      <c r="C598" s="57" t="n"/>
      <c r="D598" s="73" t="n"/>
      <c r="E598" s="57" t="n"/>
      <c r="F598" s="57" t="n"/>
      <c r="G598" s="57" t="n"/>
      <c r="H598" s="74">
        <f>IF(C598="","",IF(OR(C598="Received",C598="Transfer In",C598="Adjustment In",C598="Return In"),D598,-D598))</f>
        <v/>
      </c>
    </row>
    <row r="599">
      <c r="A599" s="72" t="n"/>
      <c r="B599" s="57" t="n"/>
      <c r="C599" s="57" t="n"/>
      <c r="D599" s="73" t="n"/>
      <c r="E599" s="57" t="n"/>
      <c r="F599" s="57" t="n"/>
      <c r="G599" s="57" t="n"/>
      <c r="H599" s="74">
        <f>IF(C599="","",IF(OR(C599="Received",C599="Transfer In",C599="Adjustment In",C599="Return In"),D599,-D599))</f>
        <v/>
      </c>
    </row>
    <row r="600">
      <c r="A600" s="72" t="n"/>
      <c r="B600" s="57" t="n"/>
      <c r="C600" s="57" t="n"/>
      <c r="D600" s="73" t="n"/>
      <c r="E600" s="57" t="n"/>
      <c r="F600" s="57" t="n"/>
      <c r="G600" s="57" t="n"/>
      <c r="H600" s="74">
        <f>IF(C600="","",IF(OR(C600="Received",C600="Transfer In",C600="Adjustment In",C600="Return In"),D600,-D600))</f>
        <v/>
      </c>
    </row>
    <row r="601">
      <c r="A601" s="72" t="n"/>
      <c r="B601" s="57" t="n"/>
      <c r="C601" s="57" t="n"/>
      <c r="D601" s="73" t="n"/>
      <c r="E601" s="57" t="n"/>
      <c r="F601" s="57" t="n"/>
      <c r="G601" s="57" t="n"/>
      <c r="H601" s="74">
        <f>IF(C601="","",IF(OR(C601="Received",C601="Transfer In",C601="Adjustment In",C601="Return In"),D601,-D601))</f>
        <v/>
      </c>
    </row>
    <row r="602">
      <c r="A602" s="72" t="n"/>
      <c r="B602" s="57" t="n"/>
      <c r="C602" s="57" t="n"/>
      <c r="D602" s="73" t="n"/>
      <c r="E602" s="57" t="n"/>
      <c r="F602" s="57" t="n"/>
      <c r="G602" s="57" t="n"/>
      <c r="H602" s="74">
        <f>IF(C602="","",IF(OR(C602="Received",C602="Transfer In",C602="Adjustment In",C602="Return In"),D602,-D602))</f>
        <v/>
      </c>
    </row>
    <row r="603">
      <c r="A603" s="72" t="n"/>
      <c r="B603" s="57" t="n"/>
      <c r="C603" s="57" t="n"/>
      <c r="D603" s="73" t="n"/>
      <c r="E603" s="57" t="n"/>
      <c r="F603" s="57" t="n"/>
      <c r="G603" s="57" t="n"/>
      <c r="H603" s="74">
        <f>IF(C603="","",IF(OR(C603="Received",C603="Transfer In",C603="Adjustment In",C603="Return In"),D603,-D603))</f>
        <v/>
      </c>
    </row>
    <row r="604">
      <c r="A604" s="72" t="n"/>
      <c r="B604" s="57" t="n"/>
      <c r="C604" s="57" t="n"/>
      <c r="D604" s="73" t="n"/>
      <c r="E604" s="57" t="n"/>
      <c r="F604" s="57" t="n"/>
      <c r="G604" s="57" t="n"/>
      <c r="H604" s="74">
        <f>IF(C604="","",IF(OR(C604="Received",C604="Transfer In",C604="Adjustment In",C604="Return In"),D604,-D604))</f>
        <v/>
      </c>
    </row>
    <row r="605">
      <c r="A605" s="72" t="n"/>
      <c r="B605" s="57" t="n"/>
      <c r="C605" s="57" t="n"/>
      <c r="D605" s="73" t="n"/>
      <c r="E605" s="57" t="n"/>
      <c r="F605" s="57" t="n"/>
      <c r="G605" s="57" t="n"/>
      <c r="H605" s="74">
        <f>IF(C605="","",IF(OR(C605="Received",C605="Transfer In",C605="Adjustment In",C605="Return In"),D605,-D605))</f>
        <v/>
      </c>
    </row>
    <row r="606">
      <c r="A606" s="72" t="n"/>
      <c r="B606" s="57" t="n"/>
      <c r="C606" s="57" t="n"/>
      <c r="D606" s="73" t="n"/>
      <c r="E606" s="57" t="n"/>
      <c r="F606" s="57" t="n"/>
      <c r="G606" s="57" t="n"/>
      <c r="H606" s="74">
        <f>IF(C606="","",IF(OR(C606="Received",C606="Transfer In",C606="Adjustment In",C606="Return In"),D606,-D606))</f>
        <v/>
      </c>
    </row>
    <row r="607">
      <c r="A607" s="72" t="n"/>
      <c r="B607" s="57" t="n"/>
      <c r="C607" s="57" t="n"/>
      <c r="D607" s="73" t="n"/>
      <c r="E607" s="57" t="n"/>
      <c r="F607" s="57" t="n"/>
      <c r="G607" s="57" t="n"/>
      <c r="H607" s="74">
        <f>IF(C607="","",IF(OR(C607="Received",C607="Transfer In",C607="Adjustment In",C607="Return In"),D607,-D607))</f>
        <v/>
      </c>
    </row>
    <row r="608">
      <c r="A608" s="72" t="n"/>
      <c r="B608" s="57" t="n"/>
      <c r="C608" s="57" t="n"/>
      <c r="D608" s="73" t="n"/>
      <c r="E608" s="57" t="n"/>
      <c r="F608" s="57" t="n"/>
      <c r="G608" s="57" t="n"/>
      <c r="H608" s="74">
        <f>IF(C608="","",IF(OR(C608="Received",C608="Transfer In",C608="Adjustment In",C608="Return In"),D608,-D608))</f>
        <v/>
      </c>
    </row>
    <row r="609">
      <c r="A609" s="72" t="n"/>
      <c r="B609" s="57" t="n"/>
      <c r="C609" s="57" t="n"/>
      <c r="D609" s="73" t="n"/>
      <c r="E609" s="57" t="n"/>
      <c r="F609" s="57" t="n"/>
      <c r="G609" s="57" t="n"/>
      <c r="H609" s="74">
        <f>IF(C609="","",IF(OR(C609="Received",C609="Transfer In",C609="Adjustment In",C609="Return In"),D609,-D609))</f>
        <v/>
      </c>
    </row>
    <row r="610">
      <c r="A610" s="72" t="n"/>
      <c r="B610" s="57" t="n"/>
      <c r="C610" s="57" t="n"/>
      <c r="D610" s="73" t="n"/>
      <c r="E610" s="57" t="n"/>
      <c r="F610" s="57" t="n"/>
      <c r="G610" s="57" t="n"/>
      <c r="H610" s="74">
        <f>IF(C610="","",IF(OR(C610="Received",C610="Transfer In",C610="Adjustment In",C610="Return In"),D610,-D610))</f>
        <v/>
      </c>
    </row>
    <row r="611">
      <c r="A611" s="72" t="n"/>
      <c r="B611" s="57" t="n"/>
      <c r="C611" s="57" t="n"/>
      <c r="D611" s="73" t="n"/>
      <c r="E611" s="57" t="n"/>
      <c r="F611" s="57" t="n"/>
      <c r="G611" s="57" t="n"/>
      <c r="H611" s="74">
        <f>IF(C611="","",IF(OR(C611="Received",C611="Transfer In",C611="Adjustment In",C611="Return In"),D611,-D611))</f>
        <v/>
      </c>
    </row>
    <row r="612">
      <c r="A612" s="72" t="n"/>
      <c r="B612" s="57" t="n"/>
      <c r="C612" s="57" t="n"/>
      <c r="D612" s="73" t="n"/>
      <c r="E612" s="57" t="n"/>
      <c r="F612" s="57" t="n"/>
      <c r="G612" s="57" t="n"/>
      <c r="H612" s="74">
        <f>IF(C612="","",IF(OR(C612="Received",C612="Transfer In",C612="Adjustment In",C612="Return In"),D612,-D612))</f>
        <v/>
      </c>
    </row>
    <row r="613">
      <c r="A613" s="72" t="n"/>
      <c r="B613" s="57" t="n"/>
      <c r="C613" s="57" t="n"/>
      <c r="D613" s="73" t="n"/>
      <c r="E613" s="57" t="n"/>
      <c r="F613" s="57" t="n"/>
      <c r="G613" s="57" t="n"/>
      <c r="H613" s="74">
        <f>IF(C613="","",IF(OR(C613="Received",C613="Transfer In",C613="Adjustment In",C613="Return In"),D613,-D613))</f>
        <v/>
      </c>
    </row>
    <row r="614">
      <c r="A614" s="72" t="n"/>
      <c r="B614" s="57" t="n"/>
      <c r="C614" s="57" t="n"/>
      <c r="D614" s="73" t="n"/>
      <c r="E614" s="57" t="n"/>
      <c r="F614" s="57" t="n"/>
      <c r="G614" s="57" t="n"/>
      <c r="H614" s="74">
        <f>IF(C614="","",IF(OR(C614="Received",C614="Transfer In",C614="Adjustment In",C614="Return In"),D614,-D614))</f>
        <v/>
      </c>
    </row>
    <row r="615">
      <c r="A615" s="72" t="n"/>
      <c r="B615" s="57" t="n"/>
      <c r="C615" s="57" t="n"/>
      <c r="D615" s="73" t="n"/>
      <c r="E615" s="57" t="n"/>
      <c r="F615" s="57" t="n"/>
      <c r="G615" s="57" t="n"/>
      <c r="H615" s="74">
        <f>IF(C615="","",IF(OR(C615="Received",C615="Transfer In",C615="Adjustment In",C615="Return In"),D615,-D615))</f>
        <v/>
      </c>
    </row>
    <row r="616">
      <c r="A616" s="72" t="n"/>
      <c r="B616" s="57" t="n"/>
      <c r="C616" s="57" t="n"/>
      <c r="D616" s="73" t="n"/>
      <c r="E616" s="57" t="n"/>
      <c r="F616" s="57" t="n"/>
      <c r="G616" s="57" t="n"/>
      <c r="H616" s="74">
        <f>IF(C616="","",IF(OR(C616="Received",C616="Transfer In",C616="Adjustment In",C616="Return In"),D616,-D616))</f>
        <v/>
      </c>
    </row>
    <row r="617">
      <c r="A617" s="72" t="n"/>
      <c r="B617" s="57" t="n"/>
      <c r="C617" s="57" t="n"/>
      <c r="D617" s="73" t="n"/>
      <c r="E617" s="57" t="n"/>
      <c r="F617" s="57" t="n"/>
      <c r="G617" s="57" t="n"/>
      <c r="H617" s="74">
        <f>IF(C617="","",IF(OR(C617="Received",C617="Transfer In",C617="Adjustment In",C617="Return In"),D617,-D617))</f>
        <v/>
      </c>
    </row>
    <row r="618">
      <c r="A618" s="72" t="n"/>
      <c r="B618" s="57" t="n"/>
      <c r="C618" s="57" t="n"/>
      <c r="D618" s="73" t="n"/>
      <c r="E618" s="57" t="n"/>
      <c r="F618" s="57" t="n"/>
      <c r="G618" s="57" t="n"/>
      <c r="H618" s="74">
        <f>IF(C618="","",IF(OR(C618="Received",C618="Transfer In",C618="Adjustment In",C618="Return In"),D618,-D618))</f>
        <v/>
      </c>
    </row>
    <row r="619">
      <c r="A619" s="72" t="n"/>
      <c r="B619" s="57" t="n"/>
      <c r="C619" s="57" t="n"/>
      <c r="D619" s="73" t="n"/>
      <c r="E619" s="57" t="n"/>
      <c r="F619" s="57" t="n"/>
      <c r="G619" s="57" t="n"/>
      <c r="H619" s="74">
        <f>IF(C619="","",IF(OR(C619="Received",C619="Transfer In",C619="Adjustment In",C619="Return In"),D619,-D619))</f>
        <v/>
      </c>
    </row>
    <row r="620">
      <c r="A620" s="72" t="n"/>
      <c r="B620" s="57" t="n"/>
      <c r="C620" s="57" t="n"/>
      <c r="D620" s="73" t="n"/>
      <c r="E620" s="57" t="n"/>
      <c r="F620" s="57" t="n"/>
      <c r="G620" s="57" t="n"/>
      <c r="H620" s="74">
        <f>IF(C620="","",IF(OR(C620="Received",C620="Transfer In",C620="Adjustment In",C620="Return In"),D620,-D620))</f>
        <v/>
      </c>
    </row>
    <row r="621">
      <c r="A621" s="72" t="n"/>
      <c r="B621" s="57" t="n"/>
      <c r="C621" s="57" t="n"/>
      <c r="D621" s="73" t="n"/>
      <c r="E621" s="57" t="n"/>
      <c r="F621" s="57" t="n"/>
      <c r="G621" s="57" t="n"/>
      <c r="H621" s="74">
        <f>IF(C621="","",IF(OR(C621="Received",C621="Transfer In",C621="Adjustment In",C621="Return In"),D621,-D621))</f>
        <v/>
      </c>
    </row>
    <row r="622">
      <c r="A622" s="72" t="n"/>
      <c r="B622" s="57" t="n"/>
      <c r="C622" s="57" t="n"/>
      <c r="D622" s="73" t="n"/>
      <c r="E622" s="57" t="n"/>
      <c r="F622" s="57" t="n"/>
      <c r="G622" s="57" t="n"/>
      <c r="H622" s="74">
        <f>IF(C622="","",IF(OR(C622="Received",C622="Transfer In",C622="Adjustment In",C622="Return In"),D622,-D622))</f>
        <v/>
      </c>
    </row>
    <row r="623">
      <c r="A623" s="72" t="n"/>
      <c r="B623" s="57" t="n"/>
      <c r="C623" s="57" t="n"/>
      <c r="D623" s="73" t="n"/>
      <c r="E623" s="57" t="n"/>
      <c r="F623" s="57" t="n"/>
      <c r="G623" s="57" t="n"/>
      <c r="H623" s="74">
        <f>IF(C623="","",IF(OR(C623="Received",C623="Transfer In",C623="Adjustment In",C623="Return In"),D623,-D623))</f>
        <v/>
      </c>
    </row>
    <row r="624">
      <c r="A624" s="72" t="n"/>
      <c r="B624" s="57" t="n"/>
      <c r="C624" s="57" t="n"/>
      <c r="D624" s="73" t="n"/>
      <c r="E624" s="57" t="n"/>
      <c r="F624" s="57" t="n"/>
      <c r="G624" s="57" t="n"/>
      <c r="H624" s="74">
        <f>IF(C624="","",IF(OR(C624="Received",C624="Transfer In",C624="Adjustment In",C624="Return In"),D624,-D624))</f>
        <v/>
      </c>
    </row>
    <row r="625">
      <c r="A625" s="72" t="n"/>
      <c r="B625" s="57" t="n"/>
      <c r="C625" s="57" t="n"/>
      <c r="D625" s="73" t="n"/>
      <c r="E625" s="57" t="n"/>
      <c r="F625" s="57" t="n"/>
      <c r="G625" s="57" t="n"/>
      <c r="H625" s="74">
        <f>IF(C625="","",IF(OR(C625="Received",C625="Transfer In",C625="Adjustment In",C625="Return In"),D625,-D625))</f>
        <v/>
      </c>
    </row>
    <row r="626">
      <c r="A626" s="72" t="n"/>
      <c r="B626" s="57" t="n"/>
      <c r="C626" s="57" t="n"/>
      <c r="D626" s="73" t="n"/>
      <c r="E626" s="57" t="n"/>
      <c r="F626" s="57" t="n"/>
      <c r="G626" s="57" t="n"/>
      <c r="H626" s="74">
        <f>IF(C626="","",IF(OR(C626="Received",C626="Transfer In",C626="Adjustment In",C626="Return In"),D626,-D626))</f>
        <v/>
      </c>
    </row>
    <row r="627">
      <c r="A627" s="72" t="n"/>
      <c r="B627" s="57" t="n"/>
      <c r="C627" s="57" t="n"/>
      <c r="D627" s="73" t="n"/>
      <c r="E627" s="57" t="n"/>
      <c r="F627" s="57" t="n"/>
      <c r="G627" s="57" t="n"/>
      <c r="H627" s="74">
        <f>IF(C627="","",IF(OR(C627="Received",C627="Transfer In",C627="Adjustment In",C627="Return In"),D627,-D627))</f>
        <v/>
      </c>
    </row>
    <row r="628">
      <c r="A628" s="72" t="n"/>
      <c r="B628" s="57" t="n"/>
      <c r="C628" s="57" t="n"/>
      <c r="D628" s="73" t="n"/>
      <c r="E628" s="57" t="n"/>
      <c r="F628" s="57" t="n"/>
      <c r="G628" s="57" t="n"/>
      <c r="H628" s="74">
        <f>IF(C628="","",IF(OR(C628="Received",C628="Transfer In",C628="Adjustment In",C628="Return In"),D628,-D628))</f>
        <v/>
      </c>
    </row>
    <row r="629">
      <c r="A629" s="72" t="n"/>
      <c r="B629" s="57" t="n"/>
      <c r="C629" s="57" t="n"/>
      <c r="D629" s="73" t="n"/>
      <c r="E629" s="57" t="n"/>
      <c r="F629" s="57" t="n"/>
      <c r="G629" s="57" t="n"/>
      <c r="H629" s="74">
        <f>IF(C629="","",IF(OR(C629="Received",C629="Transfer In",C629="Adjustment In",C629="Return In"),D629,-D629))</f>
        <v/>
      </c>
    </row>
    <row r="630">
      <c r="A630" s="72" t="n"/>
      <c r="B630" s="57" t="n"/>
      <c r="C630" s="57" t="n"/>
      <c r="D630" s="73" t="n"/>
      <c r="E630" s="57" t="n"/>
      <c r="F630" s="57" t="n"/>
      <c r="G630" s="57" t="n"/>
      <c r="H630" s="74">
        <f>IF(C630="","",IF(OR(C630="Received",C630="Transfer In",C630="Adjustment In",C630="Return In"),D630,-D630))</f>
        <v/>
      </c>
    </row>
    <row r="631">
      <c r="A631" s="72" t="n"/>
      <c r="B631" s="57" t="n"/>
      <c r="C631" s="57" t="n"/>
      <c r="D631" s="73" t="n"/>
      <c r="E631" s="57" t="n"/>
      <c r="F631" s="57" t="n"/>
      <c r="G631" s="57" t="n"/>
      <c r="H631" s="74">
        <f>IF(C631="","",IF(OR(C631="Received",C631="Transfer In",C631="Adjustment In",C631="Return In"),D631,-D631))</f>
        <v/>
      </c>
    </row>
    <row r="632">
      <c r="A632" s="72" t="n"/>
      <c r="B632" s="57" t="n"/>
      <c r="C632" s="57" t="n"/>
      <c r="D632" s="73" t="n"/>
      <c r="E632" s="57" t="n"/>
      <c r="F632" s="57" t="n"/>
      <c r="G632" s="57" t="n"/>
      <c r="H632" s="74">
        <f>IF(C632="","",IF(OR(C632="Received",C632="Transfer In",C632="Adjustment In",C632="Return In"),D632,-D632))</f>
        <v/>
      </c>
    </row>
    <row r="633">
      <c r="A633" s="72" t="n"/>
      <c r="B633" s="57" t="n"/>
      <c r="C633" s="57" t="n"/>
      <c r="D633" s="73" t="n"/>
      <c r="E633" s="57" t="n"/>
      <c r="F633" s="57" t="n"/>
      <c r="G633" s="57" t="n"/>
      <c r="H633" s="74">
        <f>IF(C633="","",IF(OR(C633="Received",C633="Transfer In",C633="Adjustment In",C633="Return In"),D633,-D633))</f>
        <v/>
      </c>
    </row>
    <row r="634">
      <c r="A634" s="72" t="n"/>
      <c r="B634" s="57" t="n"/>
      <c r="C634" s="57" t="n"/>
      <c r="D634" s="73" t="n"/>
      <c r="E634" s="57" t="n"/>
      <c r="F634" s="57" t="n"/>
      <c r="G634" s="57" t="n"/>
      <c r="H634" s="74">
        <f>IF(C634="","",IF(OR(C634="Received",C634="Transfer In",C634="Adjustment In",C634="Return In"),D634,-D634))</f>
        <v/>
      </c>
    </row>
    <row r="635">
      <c r="A635" s="72" t="n"/>
      <c r="B635" s="57" t="n"/>
      <c r="C635" s="57" t="n"/>
      <c r="D635" s="73" t="n"/>
      <c r="E635" s="57" t="n"/>
      <c r="F635" s="57" t="n"/>
      <c r="G635" s="57" t="n"/>
      <c r="H635" s="74">
        <f>IF(C635="","",IF(OR(C635="Received",C635="Transfer In",C635="Adjustment In",C635="Return In"),D635,-D635))</f>
        <v/>
      </c>
    </row>
    <row r="636">
      <c r="A636" s="72" t="n"/>
      <c r="B636" s="57" t="n"/>
      <c r="C636" s="57" t="n"/>
      <c r="D636" s="73" t="n"/>
      <c r="E636" s="57" t="n"/>
      <c r="F636" s="57" t="n"/>
      <c r="G636" s="57" t="n"/>
      <c r="H636" s="74">
        <f>IF(C636="","",IF(OR(C636="Received",C636="Transfer In",C636="Adjustment In",C636="Return In"),D636,-D636))</f>
        <v/>
      </c>
    </row>
    <row r="637">
      <c r="A637" s="72" t="n"/>
      <c r="B637" s="57" t="n"/>
      <c r="C637" s="57" t="n"/>
      <c r="D637" s="73" t="n"/>
      <c r="E637" s="57" t="n"/>
      <c r="F637" s="57" t="n"/>
      <c r="G637" s="57" t="n"/>
      <c r="H637" s="74">
        <f>IF(C637="","",IF(OR(C637="Received",C637="Transfer In",C637="Adjustment In",C637="Return In"),D637,-D637))</f>
        <v/>
      </c>
    </row>
    <row r="638">
      <c r="A638" s="72" t="n"/>
      <c r="B638" s="57" t="n"/>
      <c r="C638" s="57" t="n"/>
      <c r="D638" s="73" t="n"/>
      <c r="E638" s="57" t="n"/>
      <c r="F638" s="57" t="n"/>
      <c r="G638" s="57" t="n"/>
      <c r="H638" s="74">
        <f>IF(C638="","",IF(OR(C638="Received",C638="Transfer In",C638="Adjustment In",C638="Return In"),D638,-D638))</f>
        <v/>
      </c>
    </row>
    <row r="639">
      <c r="A639" s="72" t="n"/>
      <c r="B639" s="57" t="n"/>
      <c r="C639" s="57" t="n"/>
      <c r="D639" s="73" t="n"/>
      <c r="E639" s="57" t="n"/>
      <c r="F639" s="57" t="n"/>
      <c r="G639" s="57" t="n"/>
      <c r="H639" s="74">
        <f>IF(C639="","",IF(OR(C639="Received",C639="Transfer In",C639="Adjustment In",C639="Return In"),D639,-D639))</f>
        <v/>
      </c>
    </row>
    <row r="640">
      <c r="A640" s="72" t="n"/>
      <c r="B640" s="57" t="n"/>
      <c r="C640" s="57" t="n"/>
      <c r="D640" s="73" t="n"/>
      <c r="E640" s="57" t="n"/>
      <c r="F640" s="57" t="n"/>
      <c r="G640" s="57" t="n"/>
      <c r="H640" s="74">
        <f>IF(C640="","",IF(OR(C640="Received",C640="Transfer In",C640="Adjustment In",C640="Return In"),D640,-D640))</f>
        <v/>
      </c>
    </row>
    <row r="641">
      <c r="A641" s="72" t="n"/>
      <c r="B641" s="57" t="n"/>
      <c r="C641" s="57" t="n"/>
      <c r="D641" s="73" t="n"/>
      <c r="E641" s="57" t="n"/>
      <c r="F641" s="57" t="n"/>
      <c r="G641" s="57" t="n"/>
      <c r="H641" s="74">
        <f>IF(C641="","",IF(OR(C641="Received",C641="Transfer In",C641="Adjustment In",C641="Return In"),D641,-D641))</f>
        <v/>
      </c>
    </row>
    <row r="642">
      <c r="A642" s="72" t="n"/>
      <c r="B642" s="57" t="n"/>
      <c r="C642" s="57" t="n"/>
      <c r="D642" s="73" t="n"/>
      <c r="E642" s="57" t="n"/>
      <c r="F642" s="57" t="n"/>
      <c r="G642" s="57" t="n"/>
      <c r="H642" s="74">
        <f>IF(C642="","",IF(OR(C642="Received",C642="Transfer In",C642="Adjustment In",C642="Return In"),D642,-D642))</f>
        <v/>
      </c>
    </row>
    <row r="643">
      <c r="A643" s="72" t="n"/>
      <c r="B643" s="57" t="n"/>
      <c r="C643" s="57" t="n"/>
      <c r="D643" s="73" t="n"/>
      <c r="E643" s="57" t="n"/>
      <c r="F643" s="57" t="n"/>
      <c r="G643" s="57" t="n"/>
      <c r="H643" s="74">
        <f>IF(C643="","",IF(OR(C643="Received",C643="Transfer In",C643="Adjustment In",C643="Return In"),D643,-D643))</f>
        <v/>
      </c>
    </row>
    <row r="644">
      <c r="A644" s="72" t="n"/>
      <c r="B644" s="57" t="n"/>
      <c r="C644" s="57" t="n"/>
      <c r="D644" s="73" t="n"/>
      <c r="E644" s="57" t="n"/>
      <c r="F644" s="57" t="n"/>
      <c r="G644" s="57" t="n"/>
      <c r="H644" s="74">
        <f>IF(C644="","",IF(OR(C644="Received",C644="Transfer In",C644="Adjustment In",C644="Return In"),D644,-D644))</f>
        <v/>
      </c>
    </row>
    <row r="645">
      <c r="A645" s="72" t="n"/>
      <c r="B645" s="57" t="n"/>
      <c r="C645" s="57" t="n"/>
      <c r="D645" s="73" t="n"/>
      <c r="E645" s="57" t="n"/>
      <c r="F645" s="57" t="n"/>
      <c r="G645" s="57" t="n"/>
      <c r="H645" s="74">
        <f>IF(C645="","",IF(OR(C645="Received",C645="Transfer In",C645="Adjustment In",C645="Return In"),D645,-D645))</f>
        <v/>
      </c>
    </row>
    <row r="646">
      <c r="A646" s="72" t="n"/>
      <c r="B646" s="57" t="n"/>
      <c r="C646" s="57" t="n"/>
      <c r="D646" s="73" t="n"/>
      <c r="E646" s="57" t="n"/>
      <c r="F646" s="57" t="n"/>
      <c r="G646" s="57" t="n"/>
      <c r="H646" s="74">
        <f>IF(C646="","",IF(OR(C646="Received",C646="Transfer In",C646="Adjustment In",C646="Return In"),D646,-D646))</f>
        <v/>
      </c>
    </row>
    <row r="647">
      <c r="A647" s="72" t="n"/>
      <c r="B647" s="57" t="n"/>
      <c r="C647" s="57" t="n"/>
      <c r="D647" s="73" t="n"/>
      <c r="E647" s="57" t="n"/>
      <c r="F647" s="57" t="n"/>
      <c r="G647" s="57" t="n"/>
      <c r="H647" s="74">
        <f>IF(C647="","",IF(OR(C647="Received",C647="Transfer In",C647="Adjustment In",C647="Return In"),D647,-D647))</f>
        <v/>
      </c>
    </row>
    <row r="648">
      <c r="A648" s="72" t="n"/>
      <c r="B648" s="57" t="n"/>
      <c r="C648" s="57" t="n"/>
      <c r="D648" s="73" t="n"/>
      <c r="E648" s="57" t="n"/>
      <c r="F648" s="57" t="n"/>
      <c r="G648" s="57" t="n"/>
      <c r="H648" s="74">
        <f>IF(C648="","",IF(OR(C648="Received",C648="Transfer In",C648="Adjustment In",C648="Return In"),D648,-D648))</f>
        <v/>
      </c>
    </row>
    <row r="649">
      <c r="A649" s="72" t="n"/>
      <c r="B649" s="57" t="n"/>
      <c r="C649" s="57" t="n"/>
      <c r="D649" s="73" t="n"/>
      <c r="E649" s="57" t="n"/>
      <c r="F649" s="57" t="n"/>
      <c r="G649" s="57" t="n"/>
      <c r="H649" s="74">
        <f>IF(C649="","",IF(OR(C649="Received",C649="Transfer In",C649="Adjustment In",C649="Return In"),D649,-D649))</f>
        <v/>
      </c>
    </row>
    <row r="650">
      <c r="A650" s="72" t="n"/>
      <c r="B650" s="57" t="n"/>
      <c r="C650" s="57" t="n"/>
      <c r="D650" s="73" t="n"/>
      <c r="E650" s="57" t="n"/>
      <c r="F650" s="57" t="n"/>
      <c r="G650" s="57" t="n"/>
      <c r="H650" s="74">
        <f>IF(C650="","",IF(OR(C650="Received",C650="Transfer In",C650="Adjustment In",C650="Return In"),D650,-D650))</f>
        <v/>
      </c>
    </row>
    <row r="651">
      <c r="A651" s="72" t="n"/>
      <c r="B651" s="57" t="n"/>
      <c r="C651" s="57" t="n"/>
      <c r="D651" s="73" t="n"/>
      <c r="E651" s="57" t="n"/>
      <c r="F651" s="57" t="n"/>
      <c r="G651" s="57" t="n"/>
      <c r="H651" s="74">
        <f>IF(C651="","",IF(OR(C651="Received",C651="Transfer In",C651="Adjustment In",C651="Return In"),D651,-D651))</f>
        <v/>
      </c>
    </row>
    <row r="652">
      <c r="A652" s="72" t="n"/>
      <c r="B652" s="57" t="n"/>
      <c r="C652" s="57" t="n"/>
      <c r="D652" s="73" t="n"/>
      <c r="E652" s="57" t="n"/>
      <c r="F652" s="57" t="n"/>
      <c r="G652" s="57" t="n"/>
      <c r="H652" s="74">
        <f>IF(C652="","",IF(OR(C652="Received",C652="Transfer In",C652="Adjustment In",C652="Return In"),D652,-D652))</f>
        <v/>
      </c>
    </row>
    <row r="653">
      <c r="A653" s="72" t="n"/>
      <c r="B653" s="57" t="n"/>
      <c r="C653" s="57" t="n"/>
      <c r="D653" s="73" t="n"/>
      <c r="E653" s="57" t="n"/>
      <c r="F653" s="57" t="n"/>
      <c r="G653" s="57" t="n"/>
      <c r="H653" s="74">
        <f>IF(C653="","",IF(OR(C653="Received",C653="Transfer In",C653="Adjustment In",C653="Return In"),D653,-D653))</f>
        <v/>
      </c>
    </row>
    <row r="654">
      <c r="A654" s="72" t="n"/>
      <c r="B654" s="57" t="n"/>
      <c r="C654" s="57" t="n"/>
      <c r="D654" s="73" t="n"/>
      <c r="E654" s="57" t="n"/>
      <c r="F654" s="57" t="n"/>
      <c r="G654" s="57" t="n"/>
      <c r="H654" s="74">
        <f>IF(C654="","",IF(OR(C654="Received",C654="Transfer In",C654="Adjustment In",C654="Return In"),D654,-D654))</f>
        <v/>
      </c>
    </row>
    <row r="655">
      <c r="A655" s="72" t="n"/>
      <c r="B655" s="57" t="n"/>
      <c r="C655" s="57" t="n"/>
      <c r="D655" s="73" t="n"/>
      <c r="E655" s="57" t="n"/>
      <c r="F655" s="57" t="n"/>
      <c r="G655" s="57" t="n"/>
      <c r="H655" s="74">
        <f>IF(C655="","",IF(OR(C655="Received",C655="Transfer In",C655="Adjustment In",C655="Return In"),D655,-D655))</f>
        <v/>
      </c>
    </row>
    <row r="656">
      <c r="A656" s="72" t="n"/>
      <c r="B656" s="57" t="n"/>
      <c r="C656" s="57" t="n"/>
      <c r="D656" s="73" t="n"/>
      <c r="E656" s="57" t="n"/>
      <c r="F656" s="57" t="n"/>
      <c r="G656" s="57" t="n"/>
      <c r="H656" s="74">
        <f>IF(C656="","",IF(OR(C656="Received",C656="Transfer In",C656="Adjustment In",C656="Return In"),D656,-D656))</f>
        <v/>
      </c>
    </row>
    <row r="657">
      <c r="A657" s="72" t="n"/>
      <c r="B657" s="57" t="n"/>
      <c r="C657" s="57" t="n"/>
      <c r="D657" s="73" t="n"/>
      <c r="E657" s="57" t="n"/>
      <c r="F657" s="57" t="n"/>
      <c r="G657" s="57" t="n"/>
      <c r="H657" s="74">
        <f>IF(C657="","",IF(OR(C657="Received",C657="Transfer In",C657="Adjustment In",C657="Return In"),D657,-D657))</f>
        <v/>
      </c>
    </row>
    <row r="658">
      <c r="A658" s="72" t="n"/>
      <c r="B658" s="57" t="n"/>
      <c r="C658" s="57" t="n"/>
      <c r="D658" s="73" t="n"/>
      <c r="E658" s="57" t="n"/>
      <c r="F658" s="57" t="n"/>
      <c r="G658" s="57" t="n"/>
      <c r="H658" s="74">
        <f>IF(C658="","",IF(OR(C658="Received",C658="Transfer In",C658="Adjustment In",C658="Return In"),D658,-D658))</f>
        <v/>
      </c>
    </row>
    <row r="659">
      <c r="A659" s="72" t="n"/>
      <c r="B659" s="57" t="n"/>
      <c r="C659" s="57" t="n"/>
      <c r="D659" s="73" t="n"/>
      <c r="E659" s="57" t="n"/>
      <c r="F659" s="57" t="n"/>
      <c r="G659" s="57" t="n"/>
      <c r="H659" s="74">
        <f>IF(C659="","",IF(OR(C659="Received",C659="Transfer In",C659="Adjustment In",C659="Return In"),D659,-D659))</f>
        <v/>
      </c>
    </row>
    <row r="660">
      <c r="A660" s="72" t="n"/>
      <c r="B660" s="57" t="n"/>
      <c r="C660" s="57" t="n"/>
      <c r="D660" s="73" t="n"/>
      <c r="E660" s="57" t="n"/>
      <c r="F660" s="57" t="n"/>
      <c r="G660" s="57" t="n"/>
      <c r="H660" s="74">
        <f>IF(C660="","",IF(OR(C660="Received",C660="Transfer In",C660="Adjustment In",C660="Return In"),D660,-D660))</f>
        <v/>
      </c>
    </row>
    <row r="661">
      <c r="A661" s="72" t="n"/>
      <c r="B661" s="57" t="n"/>
      <c r="C661" s="57" t="n"/>
      <c r="D661" s="73" t="n"/>
      <c r="E661" s="57" t="n"/>
      <c r="F661" s="57" t="n"/>
      <c r="G661" s="57" t="n"/>
      <c r="H661" s="74">
        <f>IF(C661="","",IF(OR(C661="Received",C661="Transfer In",C661="Adjustment In",C661="Return In"),D661,-D661))</f>
        <v/>
      </c>
    </row>
    <row r="662">
      <c r="A662" s="72" t="n"/>
      <c r="B662" s="57" t="n"/>
      <c r="C662" s="57" t="n"/>
      <c r="D662" s="73" t="n"/>
      <c r="E662" s="57" t="n"/>
      <c r="F662" s="57" t="n"/>
      <c r="G662" s="57" t="n"/>
      <c r="H662" s="74">
        <f>IF(C662="","",IF(OR(C662="Received",C662="Transfer In",C662="Adjustment In",C662="Return In"),D662,-D662))</f>
        <v/>
      </c>
    </row>
    <row r="663">
      <c r="A663" s="72" t="n"/>
      <c r="B663" s="57" t="n"/>
      <c r="C663" s="57" t="n"/>
      <c r="D663" s="73" t="n"/>
      <c r="E663" s="57" t="n"/>
      <c r="F663" s="57" t="n"/>
      <c r="G663" s="57" t="n"/>
      <c r="H663" s="74">
        <f>IF(C663="","",IF(OR(C663="Received",C663="Transfer In",C663="Adjustment In",C663="Return In"),D663,-D663))</f>
        <v/>
      </c>
    </row>
    <row r="664">
      <c r="A664" s="72" t="n"/>
      <c r="B664" s="57" t="n"/>
      <c r="C664" s="57" t="n"/>
      <c r="D664" s="73" t="n"/>
      <c r="E664" s="57" t="n"/>
      <c r="F664" s="57" t="n"/>
      <c r="G664" s="57" t="n"/>
      <c r="H664" s="74">
        <f>IF(C664="","",IF(OR(C664="Received",C664="Transfer In",C664="Adjustment In",C664="Return In"),D664,-D664))</f>
        <v/>
      </c>
    </row>
    <row r="665">
      <c r="A665" s="72" t="n"/>
      <c r="B665" s="57" t="n"/>
      <c r="C665" s="57" t="n"/>
      <c r="D665" s="73" t="n"/>
      <c r="E665" s="57" t="n"/>
      <c r="F665" s="57" t="n"/>
      <c r="G665" s="57" t="n"/>
      <c r="H665" s="74">
        <f>IF(C665="","",IF(OR(C665="Received",C665="Transfer In",C665="Adjustment In",C665="Return In"),D665,-D665))</f>
        <v/>
      </c>
    </row>
    <row r="666">
      <c r="A666" s="72" t="n"/>
      <c r="B666" s="57" t="n"/>
      <c r="C666" s="57" t="n"/>
      <c r="D666" s="73" t="n"/>
      <c r="E666" s="57" t="n"/>
      <c r="F666" s="57" t="n"/>
      <c r="G666" s="57" t="n"/>
      <c r="H666" s="74">
        <f>IF(C666="","",IF(OR(C666="Received",C666="Transfer In",C666="Adjustment In",C666="Return In"),D666,-D666))</f>
        <v/>
      </c>
    </row>
    <row r="667">
      <c r="A667" s="72" t="n"/>
      <c r="B667" s="57" t="n"/>
      <c r="C667" s="57" t="n"/>
      <c r="D667" s="73" t="n"/>
      <c r="E667" s="57" t="n"/>
      <c r="F667" s="57" t="n"/>
      <c r="G667" s="57" t="n"/>
      <c r="H667" s="74">
        <f>IF(C667="","",IF(OR(C667="Received",C667="Transfer In",C667="Adjustment In",C667="Return In"),D667,-D667))</f>
        <v/>
      </c>
    </row>
    <row r="668">
      <c r="A668" s="72" t="n"/>
      <c r="B668" s="57" t="n"/>
      <c r="C668" s="57" t="n"/>
      <c r="D668" s="73" t="n"/>
      <c r="E668" s="57" t="n"/>
      <c r="F668" s="57" t="n"/>
      <c r="G668" s="57" t="n"/>
      <c r="H668" s="74">
        <f>IF(C668="","",IF(OR(C668="Received",C668="Transfer In",C668="Adjustment In",C668="Return In"),D668,-D668))</f>
        <v/>
      </c>
    </row>
    <row r="669">
      <c r="A669" s="72" t="n"/>
      <c r="B669" s="57" t="n"/>
      <c r="C669" s="57" t="n"/>
      <c r="D669" s="73" t="n"/>
      <c r="E669" s="57" t="n"/>
      <c r="F669" s="57" t="n"/>
      <c r="G669" s="57" t="n"/>
      <c r="H669" s="74">
        <f>IF(C669="","",IF(OR(C669="Received",C669="Transfer In",C669="Adjustment In",C669="Return In"),D669,-D669))</f>
        <v/>
      </c>
    </row>
    <row r="670">
      <c r="A670" s="72" t="n"/>
      <c r="B670" s="57" t="n"/>
      <c r="C670" s="57" t="n"/>
      <c r="D670" s="73" t="n"/>
      <c r="E670" s="57" t="n"/>
      <c r="F670" s="57" t="n"/>
      <c r="G670" s="57" t="n"/>
      <c r="H670" s="74">
        <f>IF(C670="","",IF(OR(C670="Received",C670="Transfer In",C670="Adjustment In",C670="Return In"),D670,-D670))</f>
        <v/>
      </c>
    </row>
    <row r="671">
      <c r="A671" s="72" t="n"/>
      <c r="B671" s="57" t="n"/>
      <c r="C671" s="57" t="n"/>
      <c r="D671" s="73" t="n"/>
      <c r="E671" s="57" t="n"/>
      <c r="F671" s="57" t="n"/>
      <c r="G671" s="57" t="n"/>
      <c r="H671" s="74">
        <f>IF(C671="","",IF(OR(C671="Received",C671="Transfer In",C671="Adjustment In",C671="Return In"),D671,-D671))</f>
        <v/>
      </c>
    </row>
    <row r="672">
      <c r="A672" s="72" t="n"/>
      <c r="B672" s="57" t="n"/>
      <c r="C672" s="57" t="n"/>
      <c r="D672" s="73" t="n"/>
      <c r="E672" s="57" t="n"/>
      <c r="F672" s="57" t="n"/>
      <c r="G672" s="57" t="n"/>
      <c r="H672" s="74">
        <f>IF(C672="","",IF(OR(C672="Received",C672="Transfer In",C672="Adjustment In",C672="Return In"),D672,-D672))</f>
        <v/>
      </c>
    </row>
    <row r="673">
      <c r="A673" s="72" t="n"/>
      <c r="B673" s="57" t="n"/>
      <c r="C673" s="57" t="n"/>
      <c r="D673" s="73" t="n"/>
      <c r="E673" s="57" t="n"/>
      <c r="F673" s="57" t="n"/>
      <c r="G673" s="57" t="n"/>
      <c r="H673" s="74">
        <f>IF(C673="","",IF(OR(C673="Received",C673="Transfer In",C673="Adjustment In",C673="Return In"),D673,-D673))</f>
        <v/>
      </c>
    </row>
    <row r="674">
      <c r="A674" s="72" t="n"/>
      <c r="B674" s="57" t="n"/>
      <c r="C674" s="57" t="n"/>
      <c r="D674" s="73" t="n"/>
      <c r="E674" s="57" t="n"/>
      <c r="F674" s="57" t="n"/>
      <c r="G674" s="57" t="n"/>
      <c r="H674" s="74">
        <f>IF(C674="","",IF(OR(C674="Received",C674="Transfer In",C674="Adjustment In",C674="Return In"),D674,-D674))</f>
        <v/>
      </c>
    </row>
    <row r="675">
      <c r="A675" s="72" t="n"/>
      <c r="B675" s="57" t="n"/>
      <c r="C675" s="57" t="n"/>
      <c r="D675" s="73" t="n"/>
      <c r="E675" s="57" t="n"/>
      <c r="F675" s="57" t="n"/>
      <c r="G675" s="57" t="n"/>
      <c r="H675" s="74">
        <f>IF(C675="","",IF(OR(C675="Received",C675="Transfer In",C675="Adjustment In",C675="Return In"),D675,-D675))</f>
        <v/>
      </c>
    </row>
    <row r="676">
      <c r="A676" s="72" t="n"/>
      <c r="B676" s="57" t="n"/>
      <c r="C676" s="57" t="n"/>
      <c r="D676" s="73" t="n"/>
      <c r="E676" s="57" t="n"/>
      <c r="F676" s="57" t="n"/>
      <c r="G676" s="57" t="n"/>
      <c r="H676" s="74">
        <f>IF(C676="","",IF(OR(C676="Received",C676="Transfer In",C676="Adjustment In",C676="Return In"),D676,-D676))</f>
        <v/>
      </c>
    </row>
    <row r="677">
      <c r="A677" s="72" t="n"/>
      <c r="B677" s="57" t="n"/>
      <c r="C677" s="57" t="n"/>
      <c r="D677" s="73" t="n"/>
      <c r="E677" s="57" t="n"/>
      <c r="F677" s="57" t="n"/>
      <c r="G677" s="57" t="n"/>
      <c r="H677" s="74">
        <f>IF(C677="","",IF(OR(C677="Received",C677="Transfer In",C677="Adjustment In",C677="Return In"),D677,-D677))</f>
        <v/>
      </c>
    </row>
    <row r="678">
      <c r="A678" s="72" t="n"/>
      <c r="B678" s="57" t="n"/>
      <c r="C678" s="57" t="n"/>
      <c r="D678" s="73" t="n"/>
      <c r="E678" s="57" t="n"/>
      <c r="F678" s="57" t="n"/>
      <c r="G678" s="57" t="n"/>
      <c r="H678" s="74">
        <f>IF(C678="","",IF(OR(C678="Received",C678="Transfer In",C678="Adjustment In",C678="Return In"),D678,-D678))</f>
        <v/>
      </c>
    </row>
    <row r="679">
      <c r="A679" s="72" t="n"/>
      <c r="B679" s="57" t="n"/>
      <c r="C679" s="57" t="n"/>
      <c r="D679" s="73" t="n"/>
      <c r="E679" s="57" t="n"/>
      <c r="F679" s="57" t="n"/>
      <c r="G679" s="57" t="n"/>
      <c r="H679" s="74">
        <f>IF(C679="","",IF(OR(C679="Received",C679="Transfer In",C679="Adjustment In",C679="Return In"),D679,-D679))</f>
        <v/>
      </c>
    </row>
    <row r="680">
      <c r="A680" s="72" t="n"/>
      <c r="B680" s="57" t="n"/>
      <c r="C680" s="57" t="n"/>
      <c r="D680" s="73" t="n"/>
      <c r="E680" s="57" t="n"/>
      <c r="F680" s="57" t="n"/>
      <c r="G680" s="57" t="n"/>
      <c r="H680" s="74">
        <f>IF(C680="","",IF(OR(C680="Received",C680="Transfer In",C680="Adjustment In",C680="Return In"),D680,-D680))</f>
        <v/>
      </c>
    </row>
    <row r="681">
      <c r="A681" s="72" t="n"/>
      <c r="B681" s="57" t="n"/>
      <c r="C681" s="57" t="n"/>
      <c r="D681" s="73" t="n"/>
      <c r="E681" s="57" t="n"/>
      <c r="F681" s="57" t="n"/>
      <c r="G681" s="57" t="n"/>
      <c r="H681" s="74">
        <f>IF(C681="","",IF(OR(C681="Received",C681="Transfer In",C681="Adjustment In",C681="Return In"),D681,-D681))</f>
        <v/>
      </c>
    </row>
    <row r="682">
      <c r="A682" s="72" t="n"/>
      <c r="B682" s="57" t="n"/>
      <c r="C682" s="57" t="n"/>
      <c r="D682" s="73" t="n"/>
      <c r="E682" s="57" t="n"/>
      <c r="F682" s="57" t="n"/>
      <c r="G682" s="57" t="n"/>
      <c r="H682" s="74">
        <f>IF(C682="","",IF(OR(C682="Received",C682="Transfer In",C682="Adjustment In",C682="Return In"),D682,-D682))</f>
        <v/>
      </c>
    </row>
    <row r="683">
      <c r="A683" s="72" t="n"/>
      <c r="B683" s="57" t="n"/>
      <c r="C683" s="57" t="n"/>
      <c r="D683" s="73" t="n"/>
      <c r="E683" s="57" t="n"/>
      <c r="F683" s="57" t="n"/>
      <c r="G683" s="57" t="n"/>
      <c r="H683" s="74">
        <f>IF(C683="","",IF(OR(C683="Received",C683="Transfer In",C683="Adjustment In",C683="Return In"),D683,-D683))</f>
        <v/>
      </c>
    </row>
    <row r="684">
      <c r="A684" s="72" t="n"/>
      <c r="B684" s="57" t="n"/>
      <c r="C684" s="57" t="n"/>
      <c r="D684" s="73" t="n"/>
      <c r="E684" s="57" t="n"/>
      <c r="F684" s="57" t="n"/>
      <c r="G684" s="57" t="n"/>
      <c r="H684" s="74">
        <f>IF(C684="","",IF(OR(C684="Received",C684="Transfer In",C684="Adjustment In",C684="Return In"),D684,-D684))</f>
        <v/>
      </c>
    </row>
    <row r="685">
      <c r="A685" s="72" t="n"/>
      <c r="B685" s="57" t="n"/>
      <c r="C685" s="57" t="n"/>
      <c r="D685" s="73" t="n"/>
      <c r="E685" s="57" t="n"/>
      <c r="F685" s="57" t="n"/>
      <c r="G685" s="57" t="n"/>
      <c r="H685" s="74">
        <f>IF(C685="","",IF(OR(C685="Received",C685="Transfer In",C685="Adjustment In",C685="Return In"),D685,-D685))</f>
        <v/>
      </c>
    </row>
    <row r="686">
      <c r="A686" s="72" t="n"/>
      <c r="B686" s="57" t="n"/>
      <c r="C686" s="57" t="n"/>
      <c r="D686" s="73" t="n"/>
      <c r="E686" s="57" t="n"/>
      <c r="F686" s="57" t="n"/>
      <c r="G686" s="57" t="n"/>
      <c r="H686" s="74">
        <f>IF(C686="","",IF(OR(C686="Received",C686="Transfer In",C686="Adjustment In",C686="Return In"),D686,-D686))</f>
        <v/>
      </c>
    </row>
    <row r="687">
      <c r="A687" s="72" t="n"/>
      <c r="B687" s="57" t="n"/>
      <c r="C687" s="57" t="n"/>
      <c r="D687" s="73" t="n"/>
      <c r="E687" s="57" t="n"/>
      <c r="F687" s="57" t="n"/>
      <c r="G687" s="57" t="n"/>
      <c r="H687" s="74">
        <f>IF(C687="","",IF(OR(C687="Received",C687="Transfer In",C687="Adjustment In",C687="Return In"),D687,-D687))</f>
        <v/>
      </c>
    </row>
    <row r="688">
      <c r="A688" s="72" t="n"/>
      <c r="B688" s="57" t="n"/>
      <c r="C688" s="57" t="n"/>
      <c r="D688" s="73" t="n"/>
      <c r="E688" s="57" t="n"/>
      <c r="F688" s="57" t="n"/>
      <c r="G688" s="57" t="n"/>
      <c r="H688" s="74">
        <f>IF(C688="","",IF(OR(C688="Received",C688="Transfer In",C688="Adjustment In",C688="Return In"),D688,-D688))</f>
        <v/>
      </c>
    </row>
    <row r="689">
      <c r="A689" s="72" t="n"/>
      <c r="B689" s="57" t="n"/>
      <c r="C689" s="57" t="n"/>
      <c r="D689" s="73" t="n"/>
      <c r="E689" s="57" t="n"/>
      <c r="F689" s="57" t="n"/>
      <c r="G689" s="57" t="n"/>
      <c r="H689" s="74">
        <f>IF(C689="","",IF(OR(C689="Received",C689="Transfer In",C689="Adjustment In",C689="Return In"),D689,-D689))</f>
        <v/>
      </c>
    </row>
    <row r="690">
      <c r="A690" s="72" t="n"/>
      <c r="B690" s="57" t="n"/>
      <c r="C690" s="57" t="n"/>
      <c r="D690" s="73" t="n"/>
      <c r="E690" s="57" t="n"/>
      <c r="F690" s="57" t="n"/>
      <c r="G690" s="57" t="n"/>
      <c r="H690" s="74">
        <f>IF(C690="","",IF(OR(C690="Received",C690="Transfer In",C690="Adjustment In",C690="Return In"),D690,-D690))</f>
        <v/>
      </c>
    </row>
    <row r="691">
      <c r="A691" s="72" t="n"/>
      <c r="B691" s="57" t="n"/>
      <c r="C691" s="57" t="n"/>
      <c r="D691" s="73" t="n"/>
      <c r="E691" s="57" t="n"/>
      <c r="F691" s="57" t="n"/>
      <c r="G691" s="57" t="n"/>
      <c r="H691" s="74">
        <f>IF(C691="","",IF(OR(C691="Received",C691="Transfer In",C691="Adjustment In",C691="Return In"),D691,-D691))</f>
        <v/>
      </c>
    </row>
    <row r="692">
      <c r="A692" s="72" t="n"/>
      <c r="B692" s="57" t="n"/>
      <c r="C692" s="57" t="n"/>
      <c r="D692" s="73" t="n"/>
      <c r="E692" s="57" t="n"/>
      <c r="F692" s="57" t="n"/>
      <c r="G692" s="57" t="n"/>
      <c r="H692" s="74">
        <f>IF(C692="","",IF(OR(C692="Received",C692="Transfer In",C692="Adjustment In",C692="Return In"),D692,-D692))</f>
        <v/>
      </c>
    </row>
    <row r="693">
      <c r="A693" s="72" t="n"/>
      <c r="B693" s="57" t="n"/>
      <c r="C693" s="57" t="n"/>
      <c r="D693" s="73" t="n"/>
      <c r="E693" s="57" t="n"/>
      <c r="F693" s="57" t="n"/>
      <c r="G693" s="57" t="n"/>
      <c r="H693" s="74">
        <f>IF(C693="","",IF(OR(C693="Received",C693="Transfer In",C693="Adjustment In",C693="Return In"),D693,-D693))</f>
        <v/>
      </c>
    </row>
    <row r="694">
      <c r="A694" s="72" t="n"/>
      <c r="B694" s="57" t="n"/>
      <c r="C694" s="57" t="n"/>
      <c r="D694" s="73" t="n"/>
      <c r="E694" s="57" t="n"/>
      <c r="F694" s="57" t="n"/>
      <c r="G694" s="57" t="n"/>
      <c r="H694" s="74">
        <f>IF(C694="","",IF(OR(C694="Received",C694="Transfer In",C694="Adjustment In",C694="Return In"),D694,-D694))</f>
        <v/>
      </c>
    </row>
    <row r="695">
      <c r="A695" s="72" t="n"/>
      <c r="B695" s="57" t="n"/>
      <c r="C695" s="57" t="n"/>
      <c r="D695" s="73" t="n"/>
      <c r="E695" s="57" t="n"/>
      <c r="F695" s="57" t="n"/>
      <c r="G695" s="57" t="n"/>
      <c r="H695" s="74">
        <f>IF(C695="","",IF(OR(C695="Received",C695="Transfer In",C695="Adjustment In",C695="Return In"),D695,-D695))</f>
        <v/>
      </c>
    </row>
    <row r="696">
      <c r="A696" s="72" t="n"/>
      <c r="B696" s="57" t="n"/>
      <c r="C696" s="57" t="n"/>
      <c r="D696" s="73" t="n"/>
      <c r="E696" s="57" t="n"/>
      <c r="F696" s="57" t="n"/>
      <c r="G696" s="57" t="n"/>
      <c r="H696" s="74">
        <f>IF(C696="","",IF(OR(C696="Received",C696="Transfer In",C696="Adjustment In",C696="Return In"),D696,-D696))</f>
        <v/>
      </c>
    </row>
    <row r="697">
      <c r="A697" s="72" t="n"/>
      <c r="B697" s="57" t="n"/>
      <c r="C697" s="57" t="n"/>
      <c r="D697" s="73" t="n"/>
      <c r="E697" s="57" t="n"/>
      <c r="F697" s="57" t="n"/>
      <c r="G697" s="57" t="n"/>
      <c r="H697" s="74">
        <f>IF(C697="","",IF(OR(C697="Received",C697="Transfer In",C697="Adjustment In",C697="Return In"),D697,-D697))</f>
        <v/>
      </c>
    </row>
    <row r="698">
      <c r="A698" s="72" t="n"/>
      <c r="B698" s="57" t="n"/>
      <c r="C698" s="57" t="n"/>
      <c r="D698" s="73" t="n"/>
      <c r="E698" s="57" t="n"/>
      <c r="F698" s="57" t="n"/>
      <c r="G698" s="57" t="n"/>
      <c r="H698" s="74">
        <f>IF(C698="","",IF(OR(C698="Received",C698="Transfer In",C698="Adjustment In",C698="Return In"),D698,-D698))</f>
        <v/>
      </c>
    </row>
    <row r="699">
      <c r="A699" s="72" t="n"/>
      <c r="B699" s="57" t="n"/>
      <c r="C699" s="57" t="n"/>
      <c r="D699" s="73" t="n"/>
      <c r="E699" s="57" t="n"/>
      <c r="F699" s="57" t="n"/>
      <c r="G699" s="57" t="n"/>
      <c r="H699" s="74">
        <f>IF(C699="","",IF(OR(C699="Received",C699="Transfer In",C699="Adjustment In",C699="Return In"),D699,-D699))</f>
        <v/>
      </c>
    </row>
    <row r="700">
      <c r="A700" s="72" t="n"/>
      <c r="B700" s="57" t="n"/>
      <c r="C700" s="57" t="n"/>
      <c r="D700" s="73" t="n"/>
      <c r="E700" s="57" t="n"/>
      <c r="F700" s="57" t="n"/>
      <c r="G700" s="57" t="n"/>
      <c r="H700" s="74">
        <f>IF(C700="","",IF(OR(C700="Received",C700="Transfer In",C700="Adjustment In",C700="Return In"),D700,-D700))</f>
        <v/>
      </c>
    </row>
    <row r="701">
      <c r="A701" s="72" t="n"/>
      <c r="B701" s="57" t="n"/>
      <c r="C701" s="57" t="n"/>
      <c r="D701" s="73" t="n"/>
      <c r="E701" s="57" t="n"/>
      <c r="F701" s="57" t="n"/>
      <c r="G701" s="57" t="n"/>
      <c r="H701" s="74">
        <f>IF(C701="","",IF(OR(C701="Received",C701="Transfer In",C701="Adjustment In",C701="Return In"),D701,-D701))</f>
        <v/>
      </c>
    </row>
    <row r="702">
      <c r="A702" s="72" t="n"/>
      <c r="B702" s="57" t="n"/>
      <c r="C702" s="57" t="n"/>
      <c r="D702" s="73" t="n"/>
      <c r="E702" s="57" t="n"/>
      <c r="F702" s="57" t="n"/>
      <c r="G702" s="57" t="n"/>
      <c r="H702" s="74">
        <f>IF(C702="","",IF(OR(C702="Received",C702="Transfer In",C702="Adjustment In",C702="Return In"),D702,-D702))</f>
        <v/>
      </c>
    </row>
    <row r="703">
      <c r="A703" s="72" t="n"/>
      <c r="B703" s="57" t="n"/>
      <c r="C703" s="57" t="n"/>
      <c r="D703" s="73" t="n"/>
      <c r="E703" s="57" t="n"/>
      <c r="F703" s="57" t="n"/>
      <c r="G703" s="57" t="n"/>
      <c r="H703" s="74">
        <f>IF(C703="","",IF(OR(C703="Received",C703="Transfer In",C703="Adjustment In",C703="Return In"),D703,-D703))</f>
        <v/>
      </c>
    </row>
    <row r="704">
      <c r="A704" s="72" t="n"/>
      <c r="B704" s="57" t="n"/>
      <c r="C704" s="57" t="n"/>
      <c r="D704" s="73" t="n"/>
      <c r="E704" s="57" t="n"/>
      <c r="F704" s="57" t="n"/>
      <c r="G704" s="57" t="n"/>
      <c r="H704" s="74">
        <f>IF(C704="","",IF(OR(C704="Received",C704="Transfer In",C704="Adjustment In",C704="Return In"),D704,-D704))</f>
        <v/>
      </c>
    </row>
    <row r="705">
      <c r="A705" s="72" t="n"/>
      <c r="B705" s="57" t="n"/>
      <c r="C705" s="57" t="n"/>
      <c r="D705" s="73" t="n"/>
      <c r="E705" s="57" t="n"/>
      <c r="F705" s="57" t="n"/>
      <c r="G705" s="57" t="n"/>
      <c r="H705" s="74">
        <f>IF(C705="","",IF(OR(C705="Received",C705="Transfer In",C705="Adjustment In",C705="Return In"),D705,-D705))</f>
        <v/>
      </c>
    </row>
    <row r="706">
      <c r="A706" s="72" t="n"/>
      <c r="B706" s="57" t="n"/>
      <c r="C706" s="57" t="n"/>
      <c r="D706" s="73" t="n"/>
      <c r="E706" s="57" t="n"/>
      <c r="F706" s="57" t="n"/>
      <c r="G706" s="57" t="n"/>
      <c r="H706" s="74">
        <f>IF(C706="","",IF(OR(C706="Received",C706="Transfer In",C706="Adjustment In",C706="Return In"),D706,-D706))</f>
        <v/>
      </c>
    </row>
    <row r="707">
      <c r="A707" s="72" t="n"/>
      <c r="B707" s="57" t="n"/>
      <c r="C707" s="57" t="n"/>
      <c r="D707" s="73" t="n"/>
      <c r="E707" s="57" t="n"/>
      <c r="F707" s="57" t="n"/>
      <c r="G707" s="57" t="n"/>
      <c r="H707" s="74">
        <f>IF(C707="","",IF(OR(C707="Received",C707="Transfer In",C707="Adjustment In",C707="Return In"),D707,-D707))</f>
        <v/>
      </c>
    </row>
    <row r="708">
      <c r="A708" s="72" t="n"/>
      <c r="B708" s="57" t="n"/>
      <c r="C708" s="57" t="n"/>
      <c r="D708" s="73" t="n"/>
      <c r="E708" s="57" t="n"/>
      <c r="F708" s="57" t="n"/>
      <c r="G708" s="57" t="n"/>
      <c r="H708" s="74">
        <f>IF(C708="","",IF(OR(C708="Received",C708="Transfer In",C708="Adjustment In",C708="Return In"),D708,-D708))</f>
        <v/>
      </c>
    </row>
    <row r="709">
      <c r="A709" s="72" t="n"/>
      <c r="B709" s="57" t="n"/>
      <c r="C709" s="57" t="n"/>
      <c r="D709" s="73" t="n"/>
      <c r="E709" s="57" t="n"/>
      <c r="F709" s="57" t="n"/>
      <c r="G709" s="57" t="n"/>
      <c r="H709" s="74">
        <f>IF(C709="","",IF(OR(C709="Received",C709="Transfer In",C709="Adjustment In",C709="Return In"),D709,-D709))</f>
        <v/>
      </c>
    </row>
    <row r="710">
      <c r="A710" s="72" t="n"/>
      <c r="B710" s="57" t="n"/>
      <c r="C710" s="57" t="n"/>
      <c r="D710" s="73" t="n"/>
      <c r="E710" s="57" t="n"/>
      <c r="F710" s="57" t="n"/>
      <c r="G710" s="57" t="n"/>
      <c r="H710" s="74">
        <f>IF(C710="","",IF(OR(C710="Received",C710="Transfer In",C710="Adjustment In",C710="Return In"),D710,-D710))</f>
        <v/>
      </c>
    </row>
    <row r="711">
      <c r="A711" s="72" t="n"/>
      <c r="B711" s="57" t="n"/>
      <c r="C711" s="57" t="n"/>
      <c r="D711" s="73" t="n"/>
      <c r="E711" s="57" t="n"/>
      <c r="F711" s="57" t="n"/>
      <c r="G711" s="57" t="n"/>
      <c r="H711" s="74">
        <f>IF(C711="","",IF(OR(C711="Received",C711="Transfer In",C711="Adjustment In",C711="Return In"),D711,-D711))</f>
        <v/>
      </c>
    </row>
    <row r="712">
      <c r="A712" s="72" t="n"/>
      <c r="B712" s="57" t="n"/>
      <c r="C712" s="57" t="n"/>
      <c r="D712" s="73" t="n"/>
      <c r="E712" s="57" t="n"/>
      <c r="F712" s="57" t="n"/>
      <c r="G712" s="57" t="n"/>
      <c r="H712" s="74">
        <f>IF(C712="","",IF(OR(C712="Received",C712="Transfer In",C712="Adjustment In",C712="Return In"),D712,-D712))</f>
        <v/>
      </c>
    </row>
    <row r="713">
      <c r="A713" s="72" t="n"/>
      <c r="B713" s="57" t="n"/>
      <c r="C713" s="57" t="n"/>
      <c r="D713" s="73" t="n"/>
      <c r="E713" s="57" t="n"/>
      <c r="F713" s="57" t="n"/>
      <c r="G713" s="57" t="n"/>
      <c r="H713" s="74">
        <f>IF(C713="","",IF(OR(C713="Received",C713="Transfer In",C713="Adjustment In",C713="Return In"),D713,-D713))</f>
        <v/>
      </c>
    </row>
    <row r="714">
      <c r="A714" s="72" t="n"/>
      <c r="B714" s="57" t="n"/>
      <c r="C714" s="57" t="n"/>
      <c r="D714" s="73" t="n"/>
      <c r="E714" s="57" t="n"/>
      <c r="F714" s="57" t="n"/>
      <c r="G714" s="57" t="n"/>
      <c r="H714" s="74">
        <f>IF(C714="","",IF(OR(C714="Received",C714="Transfer In",C714="Adjustment In",C714="Return In"),D714,-D714))</f>
        <v/>
      </c>
    </row>
    <row r="715">
      <c r="A715" s="72" t="n"/>
      <c r="B715" s="57" t="n"/>
      <c r="C715" s="57" t="n"/>
      <c r="D715" s="73" t="n"/>
      <c r="E715" s="57" t="n"/>
      <c r="F715" s="57" t="n"/>
      <c r="G715" s="57" t="n"/>
      <c r="H715" s="74">
        <f>IF(C715="","",IF(OR(C715="Received",C715="Transfer In",C715="Adjustment In",C715="Return In"),D715,-D715))</f>
        <v/>
      </c>
    </row>
    <row r="716">
      <c r="A716" s="72" t="n"/>
      <c r="B716" s="57" t="n"/>
      <c r="C716" s="57" t="n"/>
      <c r="D716" s="73" t="n"/>
      <c r="E716" s="57" t="n"/>
      <c r="F716" s="57" t="n"/>
      <c r="G716" s="57" t="n"/>
      <c r="H716" s="74">
        <f>IF(C716="","",IF(OR(C716="Received",C716="Transfer In",C716="Adjustment In",C716="Return In"),D716,-D716))</f>
        <v/>
      </c>
    </row>
    <row r="717">
      <c r="A717" s="72" t="n"/>
      <c r="B717" s="57" t="n"/>
      <c r="C717" s="57" t="n"/>
      <c r="D717" s="73" t="n"/>
      <c r="E717" s="57" t="n"/>
      <c r="F717" s="57" t="n"/>
      <c r="G717" s="57" t="n"/>
      <c r="H717" s="74">
        <f>IF(C717="","",IF(OR(C717="Received",C717="Transfer In",C717="Adjustment In",C717="Return In"),D717,-D717))</f>
        <v/>
      </c>
    </row>
    <row r="718">
      <c r="A718" s="72" t="n"/>
      <c r="B718" s="57" t="n"/>
      <c r="C718" s="57" t="n"/>
      <c r="D718" s="73" t="n"/>
      <c r="E718" s="57" t="n"/>
      <c r="F718" s="57" t="n"/>
      <c r="G718" s="57" t="n"/>
      <c r="H718" s="74">
        <f>IF(C718="","",IF(OR(C718="Received",C718="Transfer In",C718="Adjustment In",C718="Return In"),D718,-D718))</f>
        <v/>
      </c>
    </row>
    <row r="719">
      <c r="A719" s="72" t="n"/>
      <c r="B719" s="57" t="n"/>
      <c r="C719" s="57" t="n"/>
      <c r="D719" s="73" t="n"/>
      <c r="E719" s="57" t="n"/>
      <c r="F719" s="57" t="n"/>
      <c r="G719" s="57" t="n"/>
      <c r="H719" s="74">
        <f>IF(C719="","",IF(OR(C719="Received",C719="Transfer In",C719="Adjustment In",C719="Return In"),D719,-D719))</f>
        <v/>
      </c>
    </row>
    <row r="720">
      <c r="A720" s="72" t="n"/>
      <c r="B720" s="57" t="n"/>
      <c r="C720" s="57" t="n"/>
      <c r="D720" s="73" t="n"/>
      <c r="E720" s="57" t="n"/>
      <c r="F720" s="57" t="n"/>
      <c r="G720" s="57" t="n"/>
      <c r="H720" s="74">
        <f>IF(C720="","",IF(OR(C720="Received",C720="Transfer In",C720="Adjustment In",C720="Return In"),D720,-D720))</f>
        <v/>
      </c>
    </row>
    <row r="721">
      <c r="A721" s="72" t="n"/>
      <c r="B721" s="57" t="n"/>
      <c r="C721" s="57" t="n"/>
      <c r="D721" s="73" t="n"/>
      <c r="E721" s="57" t="n"/>
      <c r="F721" s="57" t="n"/>
      <c r="G721" s="57" t="n"/>
      <c r="H721" s="74">
        <f>IF(C721="","",IF(OR(C721="Received",C721="Transfer In",C721="Adjustment In",C721="Return In"),D721,-D721))</f>
        <v/>
      </c>
    </row>
    <row r="722">
      <c r="A722" s="72" t="n"/>
      <c r="B722" s="57" t="n"/>
      <c r="C722" s="57" t="n"/>
      <c r="D722" s="73" t="n"/>
      <c r="E722" s="57" t="n"/>
      <c r="F722" s="57" t="n"/>
      <c r="G722" s="57" t="n"/>
      <c r="H722" s="74">
        <f>IF(C722="","",IF(OR(C722="Received",C722="Transfer In",C722="Adjustment In",C722="Return In"),D722,-D722))</f>
        <v/>
      </c>
    </row>
    <row r="723">
      <c r="A723" s="72" t="n"/>
      <c r="B723" s="57" t="n"/>
      <c r="C723" s="57" t="n"/>
      <c r="D723" s="73" t="n"/>
      <c r="E723" s="57" t="n"/>
      <c r="F723" s="57" t="n"/>
      <c r="G723" s="57" t="n"/>
      <c r="H723" s="74">
        <f>IF(C723="","",IF(OR(C723="Received",C723="Transfer In",C723="Adjustment In",C723="Return In"),D723,-D723))</f>
        <v/>
      </c>
    </row>
    <row r="724">
      <c r="A724" s="72" t="n"/>
      <c r="B724" s="57" t="n"/>
      <c r="C724" s="57" t="n"/>
      <c r="D724" s="73" t="n"/>
      <c r="E724" s="57" t="n"/>
      <c r="F724" s="57" t="n"/>
      <c r="G724" s="57" t="n"/>
      <c r="H724" s="74">
        <f>IF(C724="","",IF(OR(C724="Received",C724="Transfer In",C724="Adjustment In",C724="Return In"),D724,-D724))</f>
        <v/>
      </c>
    </row>
    <row r="725">
      <c r="A725" s="72" t="n"/>
      <c r="B725" s="57" t="n"/>
      <c r="C725" s="57" t="n"/>
      <c r="D725" s="73" t="n"/>
      <c r="E725" s="57" t="n"/>
      <c r="F725" s="57" t="n"/>
      <c r="G725" s="57" t="n"/>
      <c r="H725" s="74">
        <f>IF(C725="","",IF(OR(C725="Received",C725="Transfer In",C725="Adjustment In",C725="Return In"),D725,-D725))</f>
        <v/>
      </c>
    </row>
    <row r="726">
      <c r="A726" s="72" t="n"/>
      <c r="B726" s="57" t="n"/>
      <c r="C726" s="57" t="n"/>
      <c r="D726" s="73" t="n"/>
      <c r="E726" s="57" t="n"/>
      <c r="F726" s="57" t="n"/>
      <c r="G726" s="57" t="n"/>
      <c r="H726" s="74">
        <f>IF(C726="","",IF(OR(C726="Received",C726="Transfer In",C726="Adjustment In",C726="Return In"),D726,-D726))</f>
        <v/>
      </c>
    </row>
    <row r="727">
      <c r="A727" s="72" t="n"/>
      <c r="B727" s="57" t="n"/>
      <c r="C727" s="57" t="n"/>
      <c r="D727" s="73" t="n"/>
      <c r="E727" s="57" t="n"/>
      <c r="F727" s="57" t="n"/>
      <c r="G727" s="57" t="n"/>
      <c r="H727" s="74">
        <f>IF(C727="","",IF(OR(C727="Received",C727="Transfer In",C727="Adjustment In",C727="Return In"),D727,-D727))</f>
        <v/>
      </c>
    </row>
    <row r="728">
      <c r="A728" s="72" t="n"/>
      <c r="B728" s="57" t="n"/>
      <c r="C728" s="57" t="n"/>
      <c r="D728" s="73" t="n"/>
      <c r="E728" s="57" t="n"/>
      <c r="F728" s="57" t="n"/>
      <c r="G728" s="57" t="n"/>
      <c r="H728" s="74">
        <f>IF(C728="","",IF(OR(C728="Received",C728="Transfer In",C728="Adjustment In",C728="Return In"),D728,-D728))</f>
        <v/>
      </c>
    </row>
    <row r="729">
      <c r="A729" s="72" t="n"/>
      <c r="B729" s="57" t="n"/>
      <c r="C729" s="57" t="n"/>
      <c r="D729" s="73" t="n"/>
      <c r="E729" s="57" t="n"/>
      <c r="F729" s="57" t="n"/>
      <c r="G729" s="57" t="n"/>
      <c r="H729" s="74">
        <f>IF(C729="","",IF(OR(C729="Received",C729="Transfer In",C729="Adjustment In",C729="Return In"),D729,-D729))</f>
        <v/>
      </c>
    </row>
    <row r="730">
      <c r="A730" s="72" t="n"/>
      <c r="B730" s="57" t="n"/>
      <c r="C730" s="57" t="n"/>
      <c r="D730" s="73" t="n"/>
      <c r="E730" s="57" t="n"/>
      <c r="F730" s="57" t="n"/>
      <c r="G730" s="57" t="n"/>
      <c r="H730" s="74">
        <f>IF(C730="","",IF(OR(C730="Received",C730="Transfer In",C730="Adjustment In",C730="Return In"),D730,-D730))</f>
        <v/>
      </c>
    </row>
    <row r="731">
      <c r="A731" s="72" t="n"/>
      <c r="B731" s="57" t="n"/>
      <c r="C731" s="57" t="n"/>
      <c r="D731" s="73" t="n"/>
      <c r="E731" s="57" t="n"/>
      <c r="F731" s="57" t="n"/>
      <c r="G731" s="57" t="n"/>
      <c r="H731" s="74">
        <f>IF(C731="","",IF(OR(C731="Received",C731="Transfer In",C731="Adjustment In",C731="Return In"),D731,-D731))</f>
        <v/>
      </c>
    </row>
    <row r="732">
      <c r="A732" s="72" t="n"/>
      <c r="B732" s="57" t="n"/>
      <c r="C732" s="57" t="n"/>
      <c r="D732" s="73" t="n"/>
      <c r="E732" s="57" t="n"/>
      <c r="F732" s="57" t="n"/>
      <c r="G732" s="57" t="n"/>
      <c r="H732" s="74">
        <f>IF(C732="","",IF(OR(C732="Received",C732="Transfer In",C732="Adjustment In",C732="Return In"),D732,-D732))</f>
        <v/>
      </c>
    </row>
    <row r="733">
      <c r="A733" s="72" t="n"/>
      <c r="B733" s="57" t="n"/>
      <c r="C733" s="57" t="n"/>
      <c r="D733" s="73" t="n"/>
      <c r="E733" s="57" t="n"/>
      <c r="F733" s="57" t="n"/>
      <c r="G733" s="57" t="n"/>
      <c r="H733" s="74">
        <f>IF(C733="","",IF(OR(C733="Received",C733="Transfer In",C733="Adjustment In",C733="Return In"),D733,-D733))</f>
        <v/>
      </c>
    </row>
    <row r="734">
      <c r="A734" s="72" t="n"/>
      <c r="B734" s="57" t="n"/>
      <c r="C734" s="57" t="n"/>
      <c r="D734" s="73" t="n"/>
      <c r="E734" s="57" t="n"/>
      <c r="F734" s="57" t="n"/>
      <c r="G734" s="57" t="n"/>
      <c r="H734" s="74">
        <f>IF(C734="","",IF(OR(C734="Received",C734="Transfer In",C734="Adjustment In",C734="Return In"),D734,-D734))</f>
        <v/>
      </c>
    </row>
    <row r="735">
      <c r="A735" s="72" t="n"/>
      <c r="B735" s="57" t="n"/>
      <c r="C735" s="57" t="n"/>
      <c r="D735" s="73" t="n"/>
      <c r="E735" s="57" t="n"/>
      <c r="F735" s="57" t="n"/>
      <c r="G735" s="57" t="n"/>
      <c r="H735" s="74">
        <f>IF(C735="","",IF(OR(C735="Received",C735="Transfer In",C735="Adjustment In",C735="Return In"),D735,-D735))</f>
        <v/>
      </c>
    </row>
    <row r="736">
      <c r="A736" s="72" t="n"/>
      <c r="B736" s="57" t="n"/>
      <c r="C736" s="57" t="n"/>
      <c r="D736" s="73" t="n"/>
      <c r="E736" s="57" t="n"/>
      <c r="F736" s="57" t="n"/>
      <c r="G736" s="57" t="n"/>
      <c r="H736" s="74">
        <f>IF(C736="","",IF(OR(C736="Received",C736="Transfer In",C736="Adjustment In",C736="Return In"),D736,-D736))</f>
        <v/>
      </c>
    </row>
    <row r="737">
      <c r="A737" s="72" t="n"/>
      <c r="B737" s="57" t="n"/>
      <c r="C737" s="57" t="n"/>
      <c r="D737" s="73" t="n"/>
      <c r="E737" s="57" t="n"/>
      <c r="F737" s="57" t="n"/>
      <c r="G737" s="57" t="n"/>
      <c r="H737" s="74">
        <f>IF(C737="","",IF(OR(C737="Received",C737="Transfer In",C737="Adjustment In",C737="Return In"),D737,-D737))</f>
        <v/>
      </c>
    </row>
    <row r="738">
      <c r="A738" s="72" t="n"/>
      <c r="B738" s="57" t="n"/>
      <c r="C738" s="57" t="n"/>
      <c r="D738" s="73" t="n"/>
      <c r="E738" s="57" t="n"/>
      <c r="F738" s="57" t="n"/>
      <c r="G738" s="57" t="n"/>
      <c r="H738" s="74">
        <f>IF(C738="","",IF(OR(C738="Received",C738="Transfer In",C738="Adjustment In",C738="Return In"),D738,-D738))</f>
        <v/>
      </c>
    </row>
    <row r="739">
      <c r="A739" s="72" t="n"/>
      <c r="B739" s="57" t="n"/>
      <c r="C739" s="57" t="n"/>
      <c r="D739" s="73" t="n"/>
      <c r="E739" s="57" t="n"/>
      <c r="F739" s="57" t="n"/>
      <c r="G739" s="57" t="n"/>
      <c r="H739" s="74">
        <f>IF(C739="","",IF(OR(C739="Received",C739="Transfer In",C739="Adjustment In",C739="Return In"),D739,-D739))</f>
        <v/>
      </c>
    </row>
    <row r="740">
      <c r="A740" s="72" t="n"/>
      <c r="B740" s="57" t="n"/>
      <c r="C740" s="57" t="n"/>
      <c r="D740" s="73" t="n"/>
      <c r="E740" s="57" t="n"/>
      <c r="F740" s="57" t="n"/>
      <c r="G740" s="57" t="n"/>
      <c r="H740" s="74">
        <f>IF(C740="","",IF(OR(C740="Received",C740="Transfer In",C740="Adjustment In",C740="Return In"),D740,-D740))</f>
        <v/>
      </c>
    </row>
    <row r="741">
      <c r="A741" s="72" t="n"/>
      <c r="B741" s="57" t="n"/>
      <c r="C741" s="57" t="n"/>
      <c r="D741" s="73" t="n"/>
      <c r="E741" s="57" t="n"/>
      <c r="F741" s="57" t="n"/>
      <c r="G741" s="57" t="n"/>
      <c r="H741" s="74">
        <f>IF(C741="","",IF(OR(C741="Received",C741="Transfer In",C741="Adjustment In",C741="Return In"),D741,-D741))</f>
        <v/>
      </c>
    </row>
    <row r="742">
      <c r="A742" s="72" t="n"/>
      <c r="B742" s="57" t="n"/>
      <c r="C742" s="57" t="n"/>
      <c r="D742" s="73" t="n"/>
      <c r="E742" s="57" t="n"/>
      <c r="F742" s="57" t="n"/>
      <c r="G742" s="57" t="n"/>
      <c r="H742" s="74">
        <f>IF(C742="","",IF(OR(C742="Received",C742="Transfer In",C742="Adjustment In",C742="Return In"),D742,-D742))</f>
        <v/>
      </c>
    </row>
    <row r="743">
      <c r="A743" s="72" t="n"/>
      <c r="B743" s="57" t="n"/>
      <c r="C743" s="57" t="n"/>
      <c r="D743" s="73" t="n"/>
      <c r="E743" s="57" t="n"/>
      <c r="F743" s="57" t="n"/>
      <c r="G743" s="57" t="n"/>
      <c r="H743" s="74">
        <f>IF(C743="","",IF(OR(C743="Received",C743="Transfer In",C743="Adjustment In",C743="Return In"),D743,-D743))</f>
        <v/>
      </c>
    </row>
    <row r="744">
      <c r="A744" s="72" t="n"/>
      <c r="B744" s="57" t="n"/>
      <c r="C744" s="57" t="n"/>
      <c r="D744" s="73" t="n"/>
      <c r="E744" s="57" t="n"/>
      <c r="F744" s="57" t="n"/>
      <c r="G744" s="57" t="n"/>
      <c r="H744" s="74">
        <f>IF(C744="","",IF(OR(C744="Received",C744="Transfer In",C744="Adjustment In",C744="Return In"),D744,-D744))</f>
        <v/>
      </c>
    </row>
    <row r="745">
      <c r="A745" s="72" t="n"/>
      <c r="B745" s="57" t="n"/>
      <c r="C745" s="57" t="n"/>
      <c r="D745" s="73" t="n"/>
      <c r="E745" s="57" t="n"/>
      <c r="F745" s="57" t="n"/>
      <c r="G745" s="57" t="n"/>
      <c r="H745" s="74">
        <f>IF(C745="","",IF(OR(C745="Received",C745="Transfer In",C745="Adjustment In",C745="Return In"),D745,-D745))</f>
        <v/>
      </c>
    </row>
    <row r="746">
      <c r="A746" s="72" t="n"/>
      <c r="B746" s="57" t="n"/>
      <c r="C746" s="57" t="n"/>
      <c r="D746" s="73" t="n"/>
      <c r="E746" s="57" t="n"/>
      <c r="F746" s="57" t="n"/>
      <c r="G746" s="57" t="n"/>
      <c r="H746" s="74">
        <f>IF(C746="","",IF(OR(C746="Received",C746="Transfer In",C746="Adjustment In",C746="Return In"),D746,-D746))</f>
        <v/>
      </c>
    </row>
    <row r="747">
      <c r="A747" s="72" t="n"/>
      <c r="B747" s="57" t="n"/>
      <c r="C747" s="57" t="n"/>
      <c r="D747" s="73" t="n"/>
      <c r="E747" s="57" t="n"/>
      <c r="F747" s="57" t="n"/>
      <c r="G747" s="57" t="n"/>
      <c r="H747" s="74">
        <f>IF(C747="","",IF(OR(C747="Received",C747="Transfer In",C747="Adjustment In",C747="Return In"),D747,-D747))</f>
        <v/>
      </c>
    </row>
    <row r="748">
      <c r="A748" s="72" t="n"/>
      <c r="B748" s="57" t="n"/>
      <c r="C748" s="57" t="n"/>
      <c r="D748" s="73" t="n"/>
      <c r="E748" s="57" t="n"/>
      <c r="F748" s="57" t="n"/>
      <c r="G748" s="57" t="n"/>
      <c r="H748" s="74">
        <f>IF(C748="","",IF(OR(C748="Received",C748="Transfer In",C748="Adjustment In",C748="Return In"),D748,-D748))</f>
        <v/>
      </c>
    </row>
    <row r="749">
      <c r="A749" s="72" t="n"/>
      <c r="B749" s="57" t="n"/>
      <c r="C749" s="57" t="n"/>
      <c r="D749" s="73" t="n"/>
      <c r="E749" s="57" t="n"/>
      <c r="F749" s="57" t="n"/>
      <c r="G749" s="57" t="n"/>
      <c r="H749" s="74">
        <f>IF(C749="","",IF(OR(C749="Received",C749="Transfer In",C749="Adjustment In",C749="Return In"),D749,-D749))</f>
        <v/>
      </c>
    </row>
    <row r="750">
      <c r="A750" s="72" t="n"/>
      <c r="B750" s="57" t="n"/>
      <c r="C750" s="57" t="n"/>
      <c r="D750" s="73" t="n"/>
      <c r="E750" s="57" t="n"/>
      <c r="F750" s="57" t="n"/>
      <c r="G750" s="57" t="n"/>
      <c r="H750" s="74">
        <f>IF(C750="","",IF(OR(C750="Received",C750="Transfer In",C750="Adjustment In",C750="Return In"),D750,-D750))</f>
        <v/>
      </c>
    </row>
    <row r="751">
      <c r="A751" s="72" t="n"/>
      <c r="B751" s="57" t="n"/>
      <c r="C751" s="57" t="n"/>
      <c r="D751" s="73" t="n"/>
      <c r="E751" s="57" t="n"/>
      <c r="F751" s="57" t="n"/>
      <c r="G751" s="57" t="n"/>
      <c r="H751" s="74">
        <f>IF(C751="","",IF(OR(C751="Received",C751="Transfer In",C751="Adjustment In",C751="Return In"),D751,-D751))</f>
        <v/>
      </c>
    </row>
    <row r="752">
      <c r="A752" s="72" t="n"/>
      <c r="B752" s="57" t="n"/>
      <c r="C752" s="57" t="n"/>
      <c r="D752" s="73" t="n"/>
      <c r="E752" s="57" t="n"/>
      <c r="F752" s="57" t="n"/>
      <c r="G752" s="57" t="n"/>
      <c r="H752" s="74">
        <f>IF(C752="","",IF(OR(C752="Received",C752="Transfer In",C752="Adjustment In",C752="Return In"),D752,-D752))</f>
        <v/>
      </c>
    </row>
    <row r="753">
      <c r="A753" s="72" t="n"/>
      <c r="B753" s="57" t="n"/>
      <c r="C753" s="57" t="n"/>
      <c r="D753" s="73" t="n"/>
      <c r="E753" s="57" t="n"/>
      <c r="F753" s="57" t="n"/>
      <c r="G753" s="57" t="n"/>
      <c r="H753" s="74">
        <f>IF(C753="","",IF(OR(C753="Received",C753="Transfer In",C753="Adjustment In",C753="Return In"),D753,-D753))</f>
        <v/>
      </c>
    </row>
    <row r="754">
      <c r="A754" s="72" t="n"/>
      <c r="B754" s="57" t="n"/>
      <c r="C754" s="57" t="n"/>
      <c r="D754" s="73" t="n"/>
      <c r="E754" s="57" t="n"/>
      <c r="F754" s="57" t="n"/>
      <c r="G754" s="57" t="n"/>
      <c r="H754" s="74">
        <f>IF(C754="","",IF(OR(C754="Received",C754="Transfer In",C754="Adjustment In",C754="Return In"),D754,-D754))</f>
        <v/>
      </c>
    </row>
    <row r="755">
      <c r="A755" s="72" t="n"/>
      <c r="B755" s="57" t="n"/>
      <c r="C755" s="57" t="n"/>
      <c r="D755" s="73" t="n"/>
      <c r="E755" s="57" t="n"/>
      <c r="F755" s="57" t="n"/>
      <c r="G755" s="57" t="n"/>
      <c r="H755" s="74">
        <f>IF(C755="","",IF(OR(C755="Received",C755="Transfer In",C755="Adjustment In",C755="Return In"),D755,-D755))</f>
        <v/>
      </c>
    </row>
    <row r="756">
      <c r="A756" s="72" t="n"/>
      <c r="B756" s="57" t="n"/>
      <c r="C756" s="57" t="n"/>
      <c r="D756" s="73" t="n"/>
      <c r="E756" s="57" t="n"/>
      <c r="F756" s="57" t="n"/>
      <c r="G756" s="57" t="n"/>
      <c r="H756" s="74">
        <f>IF(C756="","",IF(OR(C756="Received",C756="Transfer In",C756="Adjustment In",C756="Return In"),D756,-D756))</f>
        <v/>
      </c>
    </row>
    <row r="757">
      <c r="A757" s="72" t="n"/>
      <c r="B757" s="57" t="n"/>
      <c r="C757" s="57" t="n"/>
      <c r="D757" s="73" t="n"/>
      <c r="E757" s="57" t="n"/>
      <c r="F757" s="57" t="n"/>
      <c r="G757" s="57" t="n"/>
      <c r="H757" s="74">
        <f>IF(C757="","",IF(OR(C757="Received",C757="Transfer In",C757="Adjustment In",C757="Return In"),D757,-D757))</f>
        <v/>
      </c>
    </row>
    <row r="758">
      <c r="A758" s="72" t="n"/>
      <c r="B758" s="57" t="n"/>
      <c r="C758" s="57" t="n"/>
      <c r="D758" s="73" t="n"/>
      <c r="E758" s="57" t="n"/>
      <c r="F758" s="57" t="n"/>
      <c r="G758" s="57" t="n"/>
      <c r="H758" s="74">
        <f>IF(C758="","",IF(OR(C758="Received",C758="Transfer In",C758="Adjustment In",C758="Return In"),D758,-D758))</f>
        <v/>
      </c>
    </row>
    <row r="759">
      <c r="A759" s="72" t="n"/>
      <c r="B759" s="57" t="n"/>
      <c r="C759" s="57" t="n"/>
      <c r="D759" s="73" t="n"/>
      <c r="E759" s="57" t="n"/>
      <c r="F759" s="57" t="n"/>
      <c r="G759" s="57" t="n"/>
      <c r="H759" s="74">
        <f>IF(C759="","",IF(OR(C759="Received",C759="Transfer In",C759="Adjustment In",C759="Return In"),D759,-D759))</f>
        <v/>
      </c>
    </row>
    <row r="760">
      <c r="A760" s="72" t="n"/>
      <c r="B760" s="57" t="n"/>
      <c r="C760" s="57" t="n"/>
      <c r="D760" s="73" t="n"/>
      <c r="E760" s="57" t="n"/>
      <c r="F760" s="57" t="n"/>
      <c r="G760" s="57" t="n"/>
      <c r="H760" s="74">
        <f>IF(C760="","",IF(OR(C760="Received",C760="Transfer In",C760="Adjustment In",C760="Return In"),D760,-D760))</f>
        <v/>
      </c>
    </row>
    <row r="761">
      <c r="A761" s="72" t="n"/>
      <c r="B761" s="57" t="n"/>
      <c r="C761" s="57" t="n"/>
      <c r="D761" s="73" t="n"/>
      <c r="E761" s="57" t="n"/>
      <c r="F761" s="57" t="n"/>
      <c r="G761" s="57" t="n"/>
      <c r="H761" s="74">
        <f>IF(C761="","",IF(OR(C761="Received",C761="Transfer In",C761="Adjustment In",C761="Return In"),D761,-D761))</f>
        <v/>
      </c>
    </row>
    <row r="762">
      <c r="A762" s="72" t="n"/>
      <c r="B762" s="57" t="n"/>
      <c r="C762" s="57" t="n"/>
      <c r="D762" s="73" t="n"/>
      <c r="E762" s="57" t="n"/>
      <c r="F762" s="57" t="n"/>
      <c r="G762" s="57" t="n"/>
      <c r="H762" s="74">
        <f>IF(C762="","",IF(OR(C762="Received",C762="Transfer In",C762="Adjustment In",C762="Return In"),D762,-D762))</f>
        <v/>
      </c>
    </row>
    <row r="763">
      <c r="A763" s="72" t="n"/>
      <c r="B763" s="57" t="n"/>
      <c r="C763" s="57" t="n"/>
      <c r="D763" s="73" t="n"/>
      <c r="E763" s="57" t="n"/>
      <c r="F763" s="57" t="n"/>
      <c r="G763" s="57" t="n"/>
      <c r="H763" s="74">
        <f>IF(C763="","",IF(OR(C763="Received",C763="Transfer In",C763="Adjustment In",C763="Return In"),D763,-D763))</f>
        <v/>
      </c>
    </row>
    <row r="764">
      <c r="A764" s="72" t="n"/>
      <c r="B764" s="57" t="n"/>
      <c r="C764" s="57" t="n"/>
      <c r="D764" s="73" t="n"/>
      <c r="E764" s="57" t="n"/>
      <c r="F764" s="57" t="n"/>
      <c r="G764" s="57" t="n"/>
      <c r="H764" s="74">
        <f>IF(C764="","",IF(OR(C764="Received",C764="Transfer In",C764="Adjustment In",C764="Return In"),D764,-D764))</f>
        <v/>
      </c>
    </row>
    <row r="765">
      <c r="A765" s="72" t="n"/>
      <c r="B765" s="57" t="n"/>
      <c r="C765" s="57" t="n"/>
      <c r="D765" s="73" t="n"/>
      <c r="E765" s="57" t="n"/>
      <c r="F765" s="57" t="n"/>
      <c r="G765" s="57" t="n"/>
      <c r="H765" s="74">
        <f>IF(C765="","",IF(OR(C765="Received",C765="Transfer In",C765="Adjustment In",C765="Return In"),D765,-D765))</f>
        <v/>
      </c>
    </row>
    <row r="766">
      <c r="A766" s="72" t="n"/>
      <c r="B766" s="57" t="n"/>
      <c r="C766" s="57" t="n"/>
      <c r="D766" s="73" t="n"/>
      <c r="E766" s="57" t="n"/>
      <c r="F766" s="57" t="n"/>
      <c r="G766" s="57" t="n"/>
      <c r="H766" s="74">
        <f>IF(C766="","",IF(OR(C766="Received",C766="Transfer In",C766="Adjustment In",C766="Return In"),D766,-D766))</f>
        <v/>
      </c>
    </row>
    <row r="767">
      <c r="A767" s="72" t="n"/>
      <c r="B767" s="57" t="n"/>
      <c r="C767" s="57" t="n"/>
      <c r="D767" s="73" t="n"/>
      <c r="E767" s="57" t="n"/>
      <c r="F767" s="57" t="n"/>
      <c r="G767" s="57" t="n"/>
      <c r="H767" s="74">
        <f>IF(C767="","",IF(OR(C767="Received",C767="Transfer In",C767="Adjustment In",C767="Return In"),D767,-D767))</f>
        <v/>
      </c>
    </row>
    <row r="768">
      <c r="A768" s="72" t="n"/>
      <c r="B768" s="57" t="n"/>
      <c r="C768" s="57" t="n"/>
      <c r="D768" s="73" t="n"/>
      <c r="E768" s="57" t="n"/>
      <c r="F768" s="57" t="n"/>
      <c r="G768" s="57" t="n"/>
      <c r="H768" s="74">
        <f>IF(C768="","",IF(OR(C768="Received",C768="Transfer In",C768="Adjustment In",C768="Return In"),D768,-D768))</f>
        <v/>
      </c>
    </row>
    <row r="769">
      <c r="A769" s="72" t="n"/>
      <c r="B769" s="57" t="n"/>
      <c r="C769" s="57" t="n"/>
      <c r="D769" s="73" t="n"/>
      <c r="E769" s="57" t="n"/>
      <c r="F769" s="57" t="n"/>
      <c r="G769" s="57" t="n"/>
      <c r="H769" s="74">
        <f>IF(C769="","",IF(OR(C769="Received",C769="Transfer In",C769="Adjustment In",C769="Return In"),D769,-D769))</f>
        <v/>
      </c>
    </row>
    <row r="770">
      <c r="A770" s="72" t="n"/>
      <c r="B770" s="57" t="n"/>
      <c r="C770" s="57" t="n"/>
      <c r="D770" s="73" t="n"/>
      <c r="E770" s="57" t="n"/>
      <c r="F770" s="57" t="n"/>
      <c r="G770" s="57" t="n"/>
      <c r="H770" s="74">
        <f>IF(C770="","",IF(OR(C770="Received",C770="Transfer In",C770="Adjustment In",C770="Return In"),D770,-D770))</f>
        <v/>
      </c>
    </row>
    <row r="771">
      <c r="A771" s="72" t="n"/>
      <c r="B771" s="57" t="n"/>
      <c r="C771" s="57" t="n"/>
      <c r="D771" s="73" t="n"/>
      <c r="E771" s="57" t="n"/>
      <c r="F771" s="57" t="n"/>
      <c r="G771" s="57" t="n"/>
      <c r="H771" s="74">
        <f>IF(C771="","",IF(OR(C771="Received",C771="Transfer In",C771="Adjustment In",C771="Return In"),D771,-D771))</f>
        <v/>
      </c>
    </row>
    <row r="772">
      <c r="A772" s="72" t="n"/>
      <c r="B772" s="57" t="n"/>
      <c r="C772" s="57" t="n"/>
      <c r="D772" s="73" t="n"/>
      <c r="E772" s="57" t="n"/>
      <c r="F772" s="57" t="n"/>
      <c r="G772" s="57" t="n"/>
      <c r="H772" s="74">
        <f>IF(C772="","",IF(OR(C772="Received",C772="Transfer In",C772="Adjustment In",C772="Return In"),D772,-D772))</f>
        <v/>
      </c>
    </row>
    <row r="773">
      <c r="A773" s="72" t="n"/>
      <c r="B773" s="57" t="n"/>
      <c r="C773" s="57" t="n"/>
      <c r="D773" s="73" t="n"/>
      <c r="E773" s="57" t="n"/>
      <c r="F773" s="57" t="n"/>
      <c r="G773" s="57" t="n"/>
      <c r="H773" s="74">
        <f>IF(C773="","",IF(OR(C773="Received",C773="Transfer In",C773="Adjustment In",C773="Return In"),D773,-D773))</f>
        <v/>
      </c>
    </row>
    <row r="774">
      <c r="A774" s="72" t="n"/>
      <c r="B774" s="57" t="n"/>
      <c r="C774" s="57" t="n"/>
      <c r="D774" s="73" t="n"/>
      <c r="E774" s="57" t="n"/>
      <c r="F774" s="57" t="n"/>
      <c r="G774" s="57" t="n"/>
      <c r="H774" s="74">
        <f>IF(C774="","",IF(OR(C774="Received",C774="Transfer In",C774="Adjustment In",C774="Return In"),D774,-D774))</f>
        <v/>
      </c>
    </row>
    <row r="775">
      <c r="A775" s="72" t="n"/>
      <c r="B775" s="57" t="n"/>
      <c r="C775" s="57" t="n"/>
      <c r="D775" s="73" t="n"/>
      <c r="E775" s="57" t="n"/>
      <c r="F775" s="57" t="n"/>
      <c r="G775" s="57" t="n"/>
      <c r="H775" s="74">
        <f>IF(C775="","",IF(OR(C775="Received",C775="Transfer In",C775="Adjustment In",C775="Return In"),D775,-D775))</f>
        <v/>
      </c>
    </row>
    <row r="776">
      <c r="A776" s="72" t="n"/>
      <c r="B776" s="57" t="n"/>
      <c r="C776" s="57" t="n"/>
      <c r="D776" s="73" t="n"/>
      <c r="E776" s="57" t="n"/>
      <c r="F776" s="57" t="n"/>
      <c r="G776" s="57" t="n"/>
      <c r="H776" s="74">
        <f>IF(C776="","",IF(OR(C776="Received",C776="Transfer In",C776="Adjustment In",C776="Return In"),D776,-D776))</f>
        <v/>
      </c>
    </row>
    <row r="777">
      <c r="A777" s="72" t="n"/>
      <c r="B777" s="57" t="n"/>
      <c r="C777" s="57" t="n"/>
      <c r="D777" s="73" t="n"/>
      <c r="E777" s="57" t="n"/>
      <c r="F777" s="57" t="n"/>
      <c r="G777" s="57" t="n"/>
      <c r="H777" s="74">
        <f>IF(C777="","",IF(OR(C777="Received",C777="Transfer In",C777="Adjustment In",C777="Return In"),D777,-D777))</f>
        <v/>
      </c>
    </row>
    <row r="778">
      <c r="A778" s="72" t="n"/>
      <c r="B778" s="57" t="n"/>
      <c r="C778" s="57" t="n"/>
      <c r="D778" s="73" t="n"/>
      <c r="E778" s="57" t="n"/>
      <c r="F778" s="57" t="n"/>
      <c r="G778" s="57" t="n"/>
      <c r="H778" s="74">
        <f>IF(C778="","",IF(OR(C778="Received",C778="Transfer In",C778="Adjustment In",C778="Return In"),D778,-D778))</f>
        <v/>
      </c>
    </row>
    <row r="779">
      <c r="A779" s="72" t="n"/>
      <c r="B779" s="57" t="n"/>
      <c r="C779" s="57" t="n"/>
      <c r="D779" s="73" t="n"/>
      <c r="E779" s="57" t="n"/>
      <c r="F779" s="57" t="n"/>
      <c r="G779" s="57" t="n"/>
      <c r="H779" s="74">
        <f>IF(C779="","",IF(OR(C779="Received",C779="Transfer In",C779="Adjustment In",C779="Return In"),D779,-D779))</f>
        <v/>
      </c>
    </row>
    <row r="780">
      <c r="A780" s="72" t="n"/>
      <c r="B780" s="57" t="n"/>
      <c r="C780" s="57" t="n"/>
      <c r="D780" s="73" t="n"/>
      <c r="E780" s="57" t="n"/>
      <c r="F780" s="57" t="n"/>
      <c r="G780" s="57" t="n"/>
      <c r="H780" s="74">
        <f>IF(C780="","",IF(OR(C780="Received",C780="Transfer In",C780="Adjustment In",C780="Return In"),D780,-D780))</f>
        <v/>
      </c>
    </row>
    <row r="781">
      <c r="A781" s="72" t="n"/>
      <c r="B781" s="57" t="n"/>
      <c r="C781" s="57" t="n"/>
      <c r="D781" s="73" t="n"/>
      <c r="E781" s="57" t="n"/>
      <c r="F781" s="57" t="n"/>
      <c r="G781" s="57" t="n"/>
      <c r="H781" s="74">
        <f>IF(C781="","",IF(OR(C781="Received",C781="Transfer In",C781="Adjustment In",C781="Return In"),D781,-D781))</f>
        <v/>
      </c>
    </row>
    <row r="782">
      <c r="A782" s="72" t="n"/>
      <c r="B782" s="57" t="n"/>
      <c r="C782" s="57" t="n"/>
      <c r="D782" s="73" t="n"/>
      <c r="E782" s="57" t="n"/>
      <c r="F782" s="57" t="n"/>
      <c r="G782" s="57" t="n"/>
      <c r="H782" s="74">
        <f>IF(C782="","",IF(OR(C782="Received",C782="Transfer In",C782="Adjustment In",C782="Return In"),D782,-D782))</f>
        <v/>
      </c>
    </row>
    <row r="783">
      <c r="A783" s="72" t="n"/>
      <c r="B783" s="57" t="n"/>
      <c r="C783" s="57" t="n"/>
      <c r="D783" s="73" t="n"/>
      <c r="E783" s="57" t="n"/>
      <c r="F783" s="57" t="n"/>
      <c r="G783" s="57" t="n"/>
      <c r="H783" s="74">
        <f>IF(C783="","",IF(OR(C783="Received",C783="Transfer In",C783="Adjustment In",C783="Return In"),D783,-D783))</f>
        <v/>
      </c>
    </row>
    <row r="784">
      <c r="A784" s="72" t="n"/>
      <c r="B784" s="57" t="n"/>
      <c r="C784" s="57" t="n"/>
      <c r="D784" s="73" t="n"/>
      <c r="E784" s="57" t="n"/>
      <c r="F784" s="57" t="n"/>
      <c r="G784" s="57" t="n"/>
      <c r="H784" s="74">
        <f>IF(C784="","",IF(OR(C784="Received",C784="Transfer In",C784="Adjustment In",C784="Return In"),D784,-D784))</f>
        <v/>
      </c>
    </row>
    <row r="785">
      <c r="A785" s="72" t="n"/>
      <c r="B785" s="57" t="n"/>
      <c r="C785" s="57" t="n"/>
      <c r="D785" s="73" t="n"/>
      <c r="E785" s="57" t="n"/>
      <c r="F785" s="57" t="n"/>
      <c r="G785" s="57" t="n"/>
      <c r="H785" s="74">
        <f>IF(C785="","",IF(OR(C785="Received",C785="Transfer In",C785="Adjustment In",C785="Return In"),D785,-D785))</f>
        <v/>
      </c>
    </row>
    <row r="786">
      <c r="A786" s="72" t="n"/>
      <c r="B786" s="57" t="n"/>
      <c r="C786" s="57" t="n"/>
      <c r="D786" s="73" t="n"/>
      <c r="E786" s="57" t="n"/>
      <c r="F786" s="57" t="n"/>
      <c r="G786" s="57" t="n"/>
      <c r="H786" s="74">
        <f>IF(C786="","",IF(OR(C786="Received",C786="Transfer In",C786="Adjustment In",C786="Return In"),D786,-D786))</f>
        <v/>
      </c>
    </row>
    <row r="787">
      <c r="A787" s="72" t="n"/>
      <c r="B787" s="57" t="n"/>
      <c r="C787" s="57" t="n"/>
      <c r="D787" s="73" t="n"/>
      <c r="E787" s="57" t="n"/>
      <c r="F787" s="57" t="n"/>
      <c r="G787" s="57" t="n"/>
      <c r="H787" s="74">
        <f>IF(C787="","",IF(OR(C787="Received",C787="Transfer In",C787="Adjustment In",C787="Return In"),D787,-D787))</f>
        <v/>
      </c>
    </row>
    <row r="788">
      <c r="A788" s="72" t="n"/>
      <c r="B788" s="57" t="n"/>
      <c r="C788" s="57" t="n"/>
      <c r="D788" s="73" t="n"/>
      <c r="E788" s="57" t="n"/>
      <c r="F788" s="57" t="n"/>
      <c r="G788" s="57" t="n"/>
      <c r="H788" s="74">
        <f>IF(C788="","",IF(OR(C788="Received",C788="Transfer In",C788="Adjustment In",C788="Return In"),D788,-D788))</f>
        <v/>
      </c>
    </row>
    <row r="789">
      <c r="A789" s="72" t="n"/>
      <c r="B789" s="57" t="n"/>
      <c r="C789" s="57" t="n"/>
      <c r="D789" s="73" t="n"/>
      <c r="E789" s="57" t="n"/>
      <c r="F789" s="57" t="n"/>
      <c r="G789" s="57" t="n"/>
      <c r="H789" s="74">
        <f>IF(C789="","",IF(OR(C789="Received",C789="Transfer In",C789="Adjustment In",C789="Return In"),D789,-D789))</f>
        <v/>
      </c>
    </row>
    <row r="790">
      <c r="A790" s="72" t="n"/>
      <c r="B790" s="57" t="n"/>
      <c r="C790" s="57" t="n"/>
      <c r="D790" s="73" t="n"/>
      <c r="E790" s="57" t="n"/>
      <c r="F790" s="57" t="n"/>
      <c r="G790" s="57" t="n"/>
      <c r="H790" s="74">
        <f>IF(C790="","",IF(OR(C790="Received",C790="Transfer In",C790="Adjustment In",C790="Return In"),D790,-D790))</f>
        <v/>
      </c>
    </row>
    <row r="791">
      <c r="A791" s="72" t="n"/>
      <c r="B791" s="57" t="n"/>
      <c r="C791" s="57" t="n"/>
      <c r="D791" s="73" t="n"/>
      <c r="E791" s="57" t="n"/>
      <c r="F791" s="57" t="n"/>
      <c r="G791" s="57" t="n"/>
      <c r="H791" s="74">
        <f>IF(C791="","",IF(OR(C791="Received",C791="Transfer In",C791="Adjustment In",C791="Return In"),D791,-D791))</f>
        <v/>
      </c>
    </row>
    <row r="792">
      <c r="A792" s="72" t="n"/>
      <c r="B792" s="57" t="n"/>
      <c r="C792" s="57" t="n"/>
      <c r="D792" s="73" t="n"/>
      <c r="E792" s="57" t="n"/>
      <c r="F792" s="57" t="n"/>
      <c r="G792" s="57" t="n"/>
      <c r="H792" s="74">
        <f>IF(C792="","",IF(OR(C792="Received",C792="Transfer In",C792="Adjustment In",C792="Return In"),D792,-D792))</f>
        <v/>
      </c>
    </row>
    <row r="793">
      <c r="A793" s="72" t="n"/>
      <c r="B793" s="57" t="n"/>
      <c r="C793" s="57" t="n"/>
      <c r="D793" s="73" t="n"/>
      <c r="E793" s="57" t="n"/>
      <c r="F793" s="57" t="n"/>
      <c r="G793" s="57" t="n"/>
      <c r="H793" s="74">
        <f>IF(C793="","",IF(OR(C793="Received",C793="Transfer In",C793="Adjustment In",C793="Return In"),D793,-D793))</f>
        <v/>
      </c>
    </row>
    <row r="794">
      <c r="A794" s="72" t="n"/>
      <c r="B794" s="57" t="n"/>
      <c r="C794" s="57" t="n"/>
      <c r="D794" s="73" t="n"/>
      <c r="E794" s="57" t="n"/>
      <c r="F794" s="57" t="n"/>
      <c r="G794" s="57" t="n"/>
      <c r="H794" s="74">
        <f>IF(C794="","",IF(OR(C794="Received",C794="Transfer In",C794="Adjustment In",C794="Return In"),D794,-D794))</f>
        <v/>
      </c>
    </row>
    <row r="795">
      <c r="A795" s="72" t="n"/>
      <c r="B795" s="57" t="n"/>
      <c r="C795" s="57" t="n"/>
      <c r="D795" s="73" t="n"/>
      <c r="E795" s="57" t="n"/>
      <c r="F795" s="57" t="n"/>
      <c r="G795" s="57" t="n"/>
      <c r="H795" s="74">
        <f>IF(C795="","",IF(OR(C795="Received",C795="Transfer In",C795="Adjustment In",C795="Return In"),D795,-D795))</f>
        <v/>
      </c>
    </row>
    <row r="796">
      <c r="A796" s="72" t="n"/>
      <c r="B796" s="57" t="n"/>
      <c r="C796" s="57" t="n"/>
      <c r="D796" s="73" t="n"/>
      <c r="E796" s="57" t="n"/>
      <c r="F796" s="57" t="n"/>
      <c r="G796" s="57" t="n"/>
      <c r="H796" s="74">
        <f>IF(C796="","",IF(OR(C796="Received",C796="Transfer In",C796="Adjustment In",C796="Return In"),D796,-D796))</f>
        <v/>
      </c>
    </row>
    <row r="797">
      <c r="A797" s="72" t="n"/>
      <c r="B797" s="57" t="n"/>
      <c r="C797" s="57" t="n"/>
      <c r="D797" s="73" t="n"/>
      <c r="E797" s="57" t="n"/>
      <c r="F797" s="57" t="n"/>
      <c r="G797" s="57" t="n"/>
      <c r="H797" s="74">
        <f>IF(C797="","",IF(OR(C797="Received",C797="Transfer In",C797="Adjustment In",C797="Return In"),D797,-D797))</f>
        <v/>
      </c>
    </row>
    <row r="798">
      <c r="A798" s="72" t="n"/>
      <c r="B798" s="57" t="n"/>
      <c r="C798" s="57" t="n"/>
      <c r="D798" s="73" t="n"/>
      <c r="E798" s="57" t="n"/>
      <c r="F798" s="57" t="n"/>
      <c r="G798" s="57" t="n"/>
      <c r="H798" s="74">
        <f>IF(C798="","",IF(OR(C798="Received",C798="Transfer In",C798="Adjustment In",C798="Return In"),D798,-D798))</f>
        <v/>
      </c>
    </row>
    <row r="799">
      <c r="A799" s="72" t="n"/>
      <c r="B799" s="57" t="n"/>
      <c r="C799" s="57" t="n"/>
      <c r="D799" s="73" t="n"/>
      <c r="E799" s="57" t="n"/>
      <c r="F799" s="57" t="n"/>
      <c r="G799" s="57" t="n"/>
      <c r="H799" s="74">
        <f>IF(C799="","",IF(OR(C799="Received",C799="Transfer In",C799="Adjustment In",C799="Return In"),D799,-D799))</f>
        <v/>
      </c>
    </row>
    <row r="800">
      <c r="A800" s="72" t="n"/>
      <c r="B800" s="57" t="n"/>
      <c r="C800" s="57" t="n"/>
      <c r="D800" s="73" t="n"/>
      <c r="E800" s="57" t="n"/>
      <c r="F800" s="57" t="n"/>
      <c r="G800" s="57" t="n"/>
      <c r="H800" s="74">
        <f>IF(C800="","",IF(OR(C800="Received",C800="Transfer In",C800="Adjustment In",C800="Return In"),D800,-D800))</f>
        <v/>
      </c>
    </row>
    <row r="801">
      <c r="A801" s="72" t="n"/>
      <c r="B801" s="57" t="n"/>
      <c r="C801" s="57" t="n"/>
      <c r="D801" s="73" t="n"/>
      <c r="E801" s="57" t="n"/>
      <c r="F801" s="57" t="n"/>
      <c r="G801" s="57" t="n"/>
      <c r="H801" s="74">
        <f>IF(C801="","",IF(OR(C801="Received",C801="Transfer In",C801="Adjustment In",C801="Return In"),D801,-D801))</f>
        <v/>
      </c>
    </row>
    <row r="802">
      <c r="A802" s="72" t="n"/>
      <c r="B802" s="57" t="n"/>
      <c r="C802" s="57" t="n"/>
      <c r="D802" s="73" t="n"/>
      <c r="E802" s="57" t="n"/>
      <c r="F802" s="57" t="n"/>
      <c r="G802" s="57" t="n"/>
      <c r="H802" s="74">
        <f>IF(C802="","",IF(OR(C802="Received",C802="Transfer In",C802="Adjustment In",C802="Return In"),D802,-D802))</f>
        <v/>
      </c>
    </row>
    <row r="803">
      <c r="A803" s="72" t="n"/>
      <c r="B803" s="57" t="n"/>
      <c r="C803" s="57" t="n"/>
      <c r="D803" s="73" t="n"/>
      <c r="E803" s="57" t="n"/>
      <c r="F803" s="57" t="n"/>
      <c r="G803" s="57" t="n"/>
      <c r="H803" s="74">
        <f>IF(C803="","",IF(OR(C803="Received",C803="Transfer In",C803="Adjustment In",C803="Return In"),D803,-D803))</f>
        <v/>
      </c>
    </row>
    <row r="804">
      <c r="A804" s="72" t="n"/>
      <c r="B804" s="57" t="n"/>
      <c r="C804" s="57" t="n"/>
      <c r="D804" s="73" t="n"/>
      <c r="E804" s="57" t="n"/>
      <c r="F804" s="57" t="n"/>
      <c r="G804" s="57" t="n"/>
      <c r="H804" s="74">
        <f>IF(C804="","",IF(OR(C804="Received",C804="Transfer In",C804="Adjustment In",C804="Return In"),D804,-D804))</f>
        <v/>
      </c>
    </row>
    <row r="805">
      <c r="A805" s="72" t="n"/>
      <c r="B805" s="57" t="n"/>
      <c r="C805" s="57" t="n"/>
      <c r="D805" s="73" t="n"/>
      <c r="E805" s="57" t="n"/>
      <c r="F805" s="57" t="n"/>
      <c r="G805" s="57" t="n"/>
      <c r="H805" s="74">
        <f>IF(C805="","",IF(OR(C805="Received",C805="Transfer In",C805="Adjustment In",C805="Return In"),D805,-D805))</f>
        <v/>
      </c>
    </row>
    <row r="806">
      <c r="A806" s="72" t="n"/>
      <c r="B806" s="57" t="n"/>
      <c r="C806" s="57" t="n"/>
      <c r="D806" s="73" t="n"/>
      <c r="E806" s="57" t="n"/>
      <c r="F806" s="57" t="n"/>
      <c r="G806" s="57" t="n"/>
      <c r="H806" s="74">
        <f>IF(C806="","",IF(OR(C806="Received",C806="Transfer In",C806="Adjustment In",C806="Return In"),D806,-D806))</f>
        <v/>
      </c>
    </row>
    <row r="807">
      <c r="A807" s="72" t="n"/>
      <c r="B807" s="57" t="n"/>
      <c r="C807" s="57" t="n"/>
      <c r="D807" s="73" t="n"/>
      <c r="E807" s="57" t="n"/>
      <c r="F807" s="57" t="n"/>
      <c r="G807" s="57" t="n"/>
      <c r="H807" s="74">
        <f>IF(C807="","",IF(OR(C807="Received",C807="Transfer In",C807="Adjustment In",C807="Return In"),D807,-D807))</f>
        <v/>
      </c>
    </row>
    <row r="808">
      <c r="A808" s="72" t="n"/>
      <c r="B808" s="57" t="n"/>
      <c r="C808" s="57" t="n"/>
      <c r="D808" s="73" t="n"/>
      <c r="E808" s="57" t="n"/>
      <c r="F808" s="57" t="n"/>
      <c r="G808" s="57" t="n"/>
      <c r="H808" s="74">
        <f>IF(C808="","",IF(OR(C808="Received",C808="Transfer In",C808="Adjustment In",C808="Return In"),D808,-D808))</f>
        <v/>
      </c>
    </row>
    <row r="809">
      <c r="A809" s="72" t="n"/>
      <c r="B809" s="57" t="n"/>
      <c r="C809" s="57" t="n"/>
      <c r="D809" s="73" t="n"/>
      <c r="E809" s="57" t="n"/>
      <c r="F809" s="57" t="n"/>
      <c r="G809" s="57" t="n"/>
      <c r="H809" s="74">
        <f>IF(C809="","",IF(OR(C809="Received",C809="Transfer In",C809="Adjustment In",C809="Return In"),D809,-D809))</f>
        <v/>
      </c>
    </row>
    <row r="810">
      <c r="A810" s="72" t="n"/>
      <c r="B810" s="57" t="n"/>
      <c r="C810" s="57" t="n"/>
      <c r="D810" s="73" t="n"/>
      <c r="E810" s="57" t="n"/>
      <c r="F810" s="57" t="n"/>
      <c r="G810" s="57" t="n"/>
      <c r="H810" s="74">
        <f>IF(C810="","",IF(OR(C810="Received",C810="Transfer In",C810="Adjustment In",C810="Return In"),D810,-D810))</f>
        <v/>
      </c>
    </row>
    <row r="811">
      <c r="A811" s="72" t="n"/>
      <c r="B811" s="57" t="n"/>
      <c r="C811" s="57" t="n"/>
      <c r="D811" s="73" t="n"/>
      <c r="E811" s="57" t="n"/>
      <c r="F811" s="57" t="n"/>
      <c r="G811" s="57" t="n"/>
      <c r="H811" s="74">
        <f>IF(C811="","",IF(OR(C811="Received",C811="Transfer In",C811="Adjustment In",C811="Return In"),D811,-D811))</f>
        <v/>
      </c>
    </row>
    <row r="812">
      <c r="A812" s="72" t="n"/>
      <c r="B812" s="57" t="n"/>
      <c r="C812" s="57" t="n"/>
      <c r="D812" s="73" t="n"/>
      <c r="E812" s="57" t="n"/>
      <c r="F812" s="57" t="n"/>
      <c r="G812" s="57" t="n"/>
      <c r="H812" s="74">
        <f>IF(C812="","",IF(OR(C812="Received",C812="Transfer In",C812="Adjustment In",C812="Return In"),D812,-D812))</f>
        <v/>
      </c>
    </row>
    <row r="813">
      <c r="A813" s="72" t="n"/>
      <c r="B813" s="57" t="n"/>
      <c r="C813" s="57" t="n"/>
      <c r="D813" s="73" t="n"/>
      <c r="E813" s="57" t="n"/>
      <c r="F813" s="57" t="n"/>
      <c r="G813" s="57" t="n"/>
      <c r="H813" s="74">
        <f>IF(C813="","",IF(OR(C813="Received",C813="Transfer In",C813="Adjustment In",C813="Return In"),D813,-D813))</f>
        <v/>
      </c>
    </row>
    <row r="814">
      <c r="A814" s="72" t="n"/>
      <c r="B814" s="57" t="n"/>
      <c r="C814" s="57" t="n"/>
      <c r="D814" s="73" t="n"/>
      <c r="E814" s="57" t="n"/>
      <c r="F814" s="57" t="n"/>
      <c r="G814" s="57" t="n"/>
      <c r="H814" s="74">
        <f>IF(C814="","",IF(OR(C814="Received",C814="Transfer In",C814="Adjustment In",C814="Return In"),D814,-D814))</f>
        <v/>
      </c>
    </row>
    <row r="815">
      <c r="A815" s="72" t="n"/>
      <c r="B815" s="57" t="n"/>
      <c r="C815" s="57" t="n"/>
      <c r="D815" s="73" t="n"/>
      <c r="E815" s="57" t="n"/>
      <c r="F815" s="57" t="n"/>
      <c r="G815" s="57" t="n"/>
      <c r="H815" s="74">
        <f>IF(C815="","",IF(OR(C815="Received",C815="Transfer In",C815="Adjustment In",C815="Return In"),D815,-D815))</f>
        <v/>
      </c>
    </row>
    <row r="816">
      <c r="A816" s="72" t="n"/>
      <c r="B816" s="57" t="n"/>
      <c r="C816" s="57" t="n"/>
      <c r="D816" s="73" t="n"/>
      <c r="E816" s="57" t="n"/>
      <c r="F816" s="57" t="n"/>
      <c r="G816" s="57" t="n"/>
      <c r="H816" s="74">
        <f>IF(C816="","",IF(OR(C816="Received",C816="Transfer In",C816="Adjustment In",C816="Return In"),D816,-D816))</f>
        <v/>
      </c>
    </row>
    <row r="817">
      <c r="A817" s="72" t="n"/>
      <c r="B817" s="57" t="n"/>
      <c r="C817" s="57" t="n"/>
      <c r="D817" s="73" t="n"/>
      <c r="E817" s="57" t="n"/>
      <c r="F817" s="57" t="n"/>
      <c r="G817" s="57" t="n"/>
      <c r="H817" s="74">
        <f>IF(C817="","",IF(OR(C817="Received",C817="Transfer In",C817="Adjustment In",C817="Return In"),D817,-D817))</f>
        <v/>
      </c>
    </row>
    <row r="818">
      <c r="A818" s="72" t="n"/>
      <c r="B818" s="57" t="n"/>
      <c r="C818" s="57" t="n"/>
      <c r="D818" s="73" t="n"/>
      <c r="E818" s="57" t="n"/>
      <c r="F818" s="57" t="n"/>
      <c r="G818" s="57" t="n"/>
      <c r="H818" s="74">
        <f>IF(C818="","",IF(OR(C818="Received",C818="Transfer In",C818="Adjustment In",C818="Return In"),D818,-D818))</f>
        <v/>
      </c>
    </row>
    <row r="819">
      <c r="A819" s="72" t="n"/>
      <c r="B819" s="57" t="n"/>
      <c r="C819" s="57" t="n"/>
      <c r="D819" s="73" t="n"/>
      <c r="E819" s="57" t="n"/>
      <c r="F819" s="57" t="n"/>
      <c r="G819" s="57" t="n"/>
      <c r="H819" s="74">
        <f>IF(C819="","",IF(OR(C819="Received",C819="Transfer In",C819="Adjustment In",C819="Return In"),D819,-D819))</f>
        <v/>
      </c>
    </row>
    <row r="820">
      <c r="A820" s="72" t="n"/>
      <c r="B820" s="57" t="n"/>
      <c r="C820" s="57" t="n"/>
      <c r="D820" s="73" t="n"/>
      <c r="E820" s="57" t="n"/>
      <c r="F820" s="57" t="n"/>
      <c r="G820" s="57" t="n"/>
      <c r="H820" s="74">
        <f>IF(C820="","",IF(OR(C820="Received",C820="Transfer In",C820="Adjustment In",C820="Return In"),D820,-D820))</f>
        <v/>
      </c>
    </row>
    <row r="821">
      <c r="A821" s="72" t="n"/>
      <c r="B821" s="57" t="n"/>
      <c r="C821" s="57" t="n"/>
      <c r="D821" s="73" t="n"/>
      <c r="E821" s="57" t="n"/>
      <c r="F821" s="57" t="n"/>
      <c r="G821" s="57" t="n"/>
      <c r="H821" s="74">
        <f>IF(C821="","",IF(OR(C821="Received",C821="Transfer In",C821="Adjustment In",C821="Return In"),D821,-D821))</f>
        <v/>
      </c>
    </row>
    <row r="822">
      <c r="A822" s="72" t="n"/>
      <c r="B822" s="57" t="n"/>
      <c r="C822" s="57" t="n"/>
      <c r="D822" s="73" t="n"/>
      <c r="E822" s="57" t="n"/>
      <c r="F822" s="57" t="n"/>
      <c r="G822" s="57" t="n"/>
      <c r="H822" s="74">
        <f>IF(C822="","",IF(OR(C822="Received",C822="Transfer In",C822="Adjustment In",C822="Return In"),D822,-D822))</f>
        <v/>
      </c>
    </row>
    <row r="823">
      <c r="A823" s="72" t="n"/>
      <c r="B823" s="57" t="n"/>
      <c r="C823" s="57" t="n"/>
      <c r="D823" s="73" t="n"/>
      <c r="E823" s="57" t="n"/>
      <c r="F823" s="57" t="n"/>
      <c r="G823" s="57" t="n"/>
      <c r="H823" s="74">
        <f>IF(C823="","",IF(OR(C823="Received",C823="Transfer In",C823="Adjustment In",C823="Return In"),D823,-D823))</f>
        <v/>
      </c>
    </row>
    <row r="824">
      <c r="A824" s="72" t="n"/>
      <c r="B824" s="57" t="n"/>
      <c r="C824" s="57" t="n"/>
      <c r="D824" s="73" t="n"/>
      <c r="E824" s="57" t="n"/>
      <c r="F824" s="57" t="n"/>
      <c r="G824" s="57" t="n"/>
      <c r="H824" s="74">
        <f>IF(C824="","",IF(OR(C824="Received",C824="Transfer In",C824="Adjustment In",C824="Return In"),D824,-D824))</f>
        <v/>
      </c>
    </row>
    <row r="825">
      <c r="A825" s="72" t="n"/>
      <c r="B825" s="57" t="n"/>
      <c r="C825" s="57" t="n"/>
      <c r="D825" s="73" t="n"/>
      <c r="E825" s="57" t="n"/>
      <c r="F825" s="57" t="n"/>
      <c r="G825" s="57" t="n"/>
      <c r="H825" s="74">
        <f>IF(C825="","",IF(OR(C825="Received",C825="Transfer In",C825="Adjustment In",C825="Return In"),D825,-D825))</f>
        <v/>
      </c>
    </row>
    <row r="826">
      <c r="A826" s="72" t="n"/>
      <c r="B826" s="57" t="n"/>
      <c r="C826" s="57" t="n"/>
      <c r="D826" s="73" t="n"/>
      <c r="E826" s="57" t="n"/>
      <c r="F826" s="57" t="n"/>
      <c r="G826" s="57" t="n"/>
      <c r="H826" s="74">
        <f>IF(C826="","",IF(OR(C826="Received",C826="Transfer In",C826="Adjustment In",C826="Return In"),D826,-D826))</f>
        <v/>
      </c>
    </row>
    <row r="827">
      <c r="A827" s="72" t="n"/>
      <c r="B827" s="57" t="n"/>
      <c r="C827" s="57" t="n"/>
      <c r="D827" s="73" t="n"/>
      <c r="E827" s="57" t="n"/>
      <c r="F827" s="57" t="n"/>
      <c r="G827" s="57" t="n"/>
      <c r="H827" s="74">
        <f>IF(C827="","",IF(OR(C827="Received",C827="Transfer In",C827="Adjustment In",C827="Return In"),D827,-D827))</f>
        <v/>
      </c>
    </row>
    <row r="828">
      <c r="A828" s="72" t="n"/>
      <c r="B828" s="57" t="n"/>
      <c r="C828" s="57" t="n"/>
      <c r="D828" s="73" t="n"/>
      <c r="E828" s="57" t="n"/>
      <c r="F828" s="57" t="n"/>
      <c r="G828" s="57" t="n"/>
      <c r="H828" s="74">
        <f>IF(C828="","",IF(OR(C828="Received",C828="Transfer In",C828="Adjustment In",C828="Return In"),D828,-D828))</f>
        <v/>
      </c>
    </row>
    <row r="829">
      <c r="A829" s="72" t="n"/>
      <c r="B829" s="57" t="n"/>
      <c r="C829" s="57" t="n"/>
      <c r="D829" s="73" t="n"/>
      <c r="E829" s="57" t="n"/>
      <c r="F829" s="57" t="n"/>
      <c r="G829" s="57" t="n"/>
      <c r="H829" s="74">
        <f>IF(C829="","",IF(OR(C829="Received",C829="Transfer In",C829="Adjustment In",C829="Return In"),D829,-D829))</f>
        <v/>
      </c>
    </row>
    <row r="830">
      <c r="A830" s="72" t="n"/>
      <c r="B830" s="57" t="n"/>
      <c r="C830" s="57" t="n"/>
      <c r="D830" s="73" t="n"/>
      <c r="E830" s="57" t="n"/>
      <c r="F830" s="57" t="n"/>
      <c r="G830" s="57" t="n"/>
      <c r="H830" s="74">
        <f>IF(C830="","",IF(OR(C830="Received",C830="Transfer In",C830="Adjustment In",C830="Return In"),D830,-D830))</f>
        <v/>
      </c>
    </row>
    <row r="831">
      <c r="A831" s="72" t="n"/>
      <c r="B831" s="57" t="n"/>
      <c r="C831" s="57" t="n"/>
      <c r="D831" s="73" t="n"/>
      <c r="E831" s="57" t="n"/>
      <c r="F831" s="57" t="n"/>
      <c r="G831" s="57" t="n"/>
      <c r="H831" s="74">
        <f>IF(C831="","",IF(OR(C831="Received",C831="Transfer In",C831="Adjustment In",C831="Return In"),D831,-D831))</f>
        <v/>
      </c>
    </row>
    <row r="832">
      <c r="A832" s="72" t="n"/>
      <c r="B832" s="57" t="n"/>
      <c r="C832" s="57" t="n"/>
      <c r="D832" s="73" t="n"/>
      <c r="E832" s="57" t="n"/>
      <c r="F832" s="57" t="n"/>
      <c r="G832" s="57" t="n"/>
      <c r="H832" s="74">
        <f>IF(C832="","",IF(OR(C832="Received",C832="Transfer In",C832="Adjustment In",C832="Return In"),D832,-D832))</f>
        <v/>
      </c>
    </row>
    <row r="833">
      <c r="A833" s="72" t="n"/>
      <c r="B833" s="57" t="n"/>
      <c r="C833" s="57" t="n"/>
      <c r="D833" s="73" t="n"/>
      <c r="E833" s="57" t="n"/>
      <c r="F833" s="57" t="n"/>
      <c r="G833" s="57" t="n"/>
      <c r="H833" s="74">
        <f>IF(C833="","",IF(OR(C833="Received",C833="Transfer In",C833="Adjustment In",C833="Return In"),D833,-D833))</f>
        <v/>
      </c>
    </row>
    <row r="834">
      <c r="A834" s="72" t="n"/>
      <c r="B834" s="57" t="n"/>
      <c r="C834" s="57" t="n"/>
      <c r="D834" s="73" t="n"/>
      <c r="E834" s="57" t="n"/>
      <c r="F834" s="57" t="n"/>
      <c r="G834" s="57" t="n"/>
      <c r="H834" s="74">
        <f>IF(C834="","",IF(OR(C834="Received",C834="Transfer In",C834="Adjustment In",C834="Return In"),D834,-D834))</f>
        <v/>
      </c>
    </row>
    <row r="835">
      <c r="A835" s="72" t="n"/>
      <c r="B835" s="57" t="n"/>
      <c r="C835" s="57" t="n"/>
      <c r="D835" s="73" t="n"/>
      <c r="E835" s="57" t="n"/>
      <c r="F835" s="57" t="n"/>
      <c r="G835" s="57" t="n"/>
      <c r="H835" s="74">
        <f>IF(C835="","",IF(OR(C835="Received",C835="Transfer In",C835="Adjustment In",C835="Return In"),D835,-D835))</f>
        <v/>
      </c>
    </row>
    <row r="836">
      <c r="A836" s="72" t="n"/>
      <c r="B836" s="57" t="n"/>
      <c r="C836" s="57" t="n"/>
      <c r="D836" s="73" t="n"/>
      <c r="E836" s="57" t="n"/>
      <c r="F836" s="57" t="n"/>
      <c r="G836" s="57" t="n"/>
      <c r="H836" s="74">
        <f>IF(C836="","",IF(OR(C836="Received",C836="Transfer In",C836="Adjustment In",C836="Return In"),D836,-D836))</f>
        <v/>
      </c>
    </row>
    <row r="837">
      <c r="A837" s="72" t="n"/>
      <c r="B837" s="57" t="n"/>
      <c r="C837" s="57" t="n"/>
      <c r="D837" s="73" t="n"/>
      <c r="E837" s="57" t="n"/>
      <c r="F837" s="57" t="n"/>
      <c r="G837" s="57" t="n"/>
      <c r="H837" s="74">
        <f>IF(C837="","",IF(OR(C837="Received",C837="Transfer In",C837="Adjustment In",C837="Return In"),D837,-D837))</f>
        <v/>
      </c>
    </row>
    <row r="838">
      <c r="A838" s="72" t="n"/>
      <c r="B838" s="57" t="n"/>
      <c r="C838" s="57" t="n"/>
      <c r="D838" s="73" t="n"/>
      <c r="E838" s="57" t="n"/>
      <c r="F838" s="57" t="n"/>
      <c r="G838" s="57" t="n"/>
      <c r="H838" s="74">
        <f>IF(C838="","",IF(OR(C838="Received",C838="Transfer In",C838="Adjustment In",C838="Return In"),D838,-D838))</f>
        <v/>
      </c>
    </row>
    <row r="839">
      <c r="A839" s="72" t="n"/>
      <c r="B839" s="57" t="n"/>
      <c r="C839" s="57" t="n"/>
      <c r="D839" s="73" t="n"/>
      <c r="E839" s="57" t="n"/>
      <c r="F839" s="57" t="n"/>
      <c r="G839" s="57" t="n"/>
      <c r="H839" s="74">
        <f>IF(C839="","",IF(OR(C839="Received",C839="Transfer In",C839="Adjustment In",C839="Return In"),D839,-D839))</f>
        <v/>
      </c>
    </row>
    <row r="840">
      <c r="A840" s="72" t="n"/>
      <c r="B840" s="57" t="n"/>
      <c r="C840" s="57" t="n"/>
      <c r="D840" s="73" t="n"/>
      <c r="E840" s="57" t="n"/>
      <c r="F840" s="57" t="n"/>
      <c r="G840" s="57" t="n"/>
      <c r="H840" s="74">
        <f>IF(C840="","",IF(OR(C840="Received",C840="Transfer In",C840="Adjustment In",C840="Return In"),D840,-D840))</f>
        <v/>
      </c>
    </row>
    <row r="841">
      <c r="A841" s="72" t="n"/>
      <c r="B841" s="57" t="n"/>
      <c r="C841" s="57" t="n"/>
      <c r="D841" s="73" t="n"/>
      <c r="E841" s="57" t="n"/>
      <c r="F841" s="57" t="n"/>
      <c r="G841" s="57" t="n"/>
      <c r="H841" s="74">
        <f>IF(C841="","",IF(OR(C841="Received",C841="Transfer In",C841="Adjustment In",C841="Return In"),D841,-D841))</f>
        <v/>
      </c>
    </row>
    <row r="842">
      <c r="A842" s="72" t="n"/>
      <c r="B842" s="57" t="n"/>
      <c r="C842" s="57" t="n"/>
      <c r="D842" s="73" t="n"/>
      <c r="E842" s="57" t="n"/>
      <c r="F842" s="57" t="n"/>
      <c r="G842" s="57" t="n"/>
      <c r="H842" s="74">
        <f>IF(C842="","",IF(OR(C842="Received",C842="Transfer In",C842="Adjustment In",C842="Return In"),D842,-D842))</f>
        <v/>
      </c>
    </row>
    <row r="843">
      <c r="A843" s="72" t="n"/>
      <c r="B843" s="57" t="n"/>
      <c r="C843" s="57" t="n"/>
      <c r="D843" s="73" t="n"/>
      <c r="E843" s="57" t="n"/>
      <c r="F843" s="57" t="n"/>
      <c r="G843" s="57" t="n"/>
      <c r="H843" s="74">
        <f>IF(C843="","",IF(OR(C843="Received",C843="Transfer In",C843="Adjustment In",C843="Return In"),D843,-D843))</f>
        <v/>
      </c>
    </row>
    <row r="844">
      <c r="A844" s="72" t="n"/>
      <c r="B844" s="57" t="n"/>
      <c r="C844" s="57" t="n"/>
      <c r="D844" s="73" t="n"/>
      <c r="E844" s="57" t="n"/>
      <c r="F844" s="57" t="n"/>
      <c r="G844" s="57" t="n"/>
      <c r="H844" s="74">
        <f>IF(C844="","",IF(OR(C844="Received",C844="Transfer In",C844="Adjustment In",C844="Return In"),D844,-D844))</f>
        <v/>
      </c>
    </row>
    <row r="845">
      <c r="A845" s="72" t="n"/>
      <c r="B845" s="57" t="n"/>
      <c r="C845" s="57" t="n"/>
      <c r="D845" s="73" t="n"/>
      <c r="E845" s="57" t="n"/>
      <c r="F845" s="57" t="n"/>
      <c r="G845" s="57" t="n"/>
      <c r="H845" s="74">
        <f>IF(C845="","",IF(OR(C845="Received",C845="Transfer In",C845="Adjustment In",C845="Return In"),D845,-D845))</f>
        <v/>
      </c>
    </row>
    <row r="846">
      <c r="A846" s="72" t="n"/>
      <c r="B846" s="57" t="n"/>
      <c r="C846" s="57" t="n"/>
      <c r="D846" s="73" t="n"/>
      <c r="E846" s="57" t="n"/>
      <c r="F846" s="57" t="n"/>
      <c r="G846" s="57" t="n"/>
      <c r="H846" s="74">
        <f>IF(C846="","",IF(OR(C846="Received",C846="Transfer In",C846="Adjustment In",C846="Return In"),D846,-D846))</f>
        <v/>
      </c>
    </row>
    <row r="847">
      <c r="A847" s="72" t="n"/>
      <c r="B847" s="57" t="n"/>
      <c r="C847" s="57" t="n"/>
      <c r="D847" s="73" t="n"/>
      <c r="E847" s="57" t="n"/>
      <c r="F847" s="57" t="n"/>
      <c r="G847" s="57" t="n"/>
      <c r="H847" s="74">
        <f>IF(C847="","",IF(OR(C847="Received",C847="Transfer In",C847="Adjustment In",C847="Return In"),D847,-D847))</f>
        <v/>
      </c>
    </row>
    <row r="848">
      <c r="A848" s="72" t="n"/>
      <c r="B848" s="57" t="n"/>
      <c r="C848" s="57" t="n"/>
      <c r="D848" s="73" t="n"/>
      <c r="E848" s="57" t="n"/>
      <c r="F848" s="57" t="n"/>
      <c r="G848" s="57" t="n"/>
      <c r="H848" s="74">
        <f>IF(C848="","",IF(OR(C848="Received",C848="Transfer In",C848="Adjustment In",C848="Return In"),D848,-D848))</f>
        <v/>
      </c>
    </row>
    <row r="849">
      <c r="A849" s="72" t="n"/>
      <c r="B849" s="57" t="n"/>
      <c r="C849" s="57" t="n"/>
      <c r="D849" s="73" t="n"/>
      <c r="E849" s="57" t="n"/>
      <c r="F849" s="57" t="n"/>
      <c r="G849" s="57" t="n"/>
      <c r="H849" s="74">
        <f>IF(C849="","",IF(OR(C849="Received",C849="Transfer In",C849="Adjustment In",C849="Return In"),D849,-D849))</f>
        <v/>
      </c>
    </row>
    <row r="850">
      <c r="A850" s="72" t="n"/>
      <c r="B850" s="57" t="n"/>
      <c r="C850" s="57" t="n"/>
      <c r="D850" s="73" t="n"/>
      <c r="E850" s="57" t="n"/>
      <c r="F850" s="57" t="n"/>
      <c r="G850" s="57" t="n"/>
      <c r="H850" s="74">
        <f>IF(C850="","",IF(OR(C850="Received",C850="Transfer In",C850="Adjustment In",C850="Return In"),D850,-D850))</f>
        <v/>
      </c>
    </row>
    <row r="851">
      <c r="A851" s="72" t="n"/>
      <c r="B851" s="57" t="n"/>
      <c r="C851" s="57" t="n"/>
      <c r="D851" s="73" t="n"/>
      <c r="E851" s="57" t="n"/>
      <c r="F851" s="57" t="n"/>
      <c r="G851" s="57" t="n"/>
      <c r="H851" s="74">
        <f>IF(C851="","",IF(OR(C851="Received",C851="Transfer In",C851="Adjustment In",C851="Return In"),D851,-D851))</f>
        <v/>
      </c>
    </row>
    <row r="852">
      <c r="A852" s="72" t="n"/>
      <c r="B852" s="57" t="n"/>
      <c r="C852" s="57" t="n"/>
      <c r="D852" s="73" t="n"/>
      <c r="E852" s="57" t="n"/>
      <c r="F852" s="57" t="n"/>
      <c r="G852" s="57" t="n"/>
      <c r="H852" s="74">
        <f>IF(C852="","",IF(OR(C852="Received",C852="Transfer In",C852="Adjustment In",C852="Return In"),D852,-D852))</f>
        <v/>
      </c>
    </row>
    <row r="853">
      <c r="A853" s="72" t="n"/>
      <c r="B853" s="57" t="n"/>
      <c r="C853" s="57" t="n"/>
      <c r="D853" s="73" t="n"/>
      <c r="E853" s="57" t="n"/>
      <c r="F853" s="57" t="n"/>
      <c r="G853" s="57" t="n"/>
      <c r="H853" s="74">
        <f>IF(C853="","",IF(OR(C853="Received",C853="Transfer In",C853="Adjustment In",C853="Return In"),D853,-D853))</f>
        <v/>
      </c>
    </row>
    <row r="854">
      <c r="A854" s="72" t="n"/>
      <c r="B854" s="57" t="n"/>
      <c r="C854" s="57" t="n"/>
      <c r="D854" s="73" t="n"/>
      <c r="E854" s="57" t="n"/>
      <c r="F854" s="57" t="n"/>
      <c r="G854" s="57" t="n"/>
      <c r="H854" s="74">
        <f>IF(C854="","",IF(OR(C854="Received",C854="Transfer In",C854="Adjustment In",C854="Return In"),D854,-D854))</f>
        <v/>
      </c>
    </row>
    <row r="855">
      <c r="A855" s="72" t="n"/>
      <c r="B855" s="57" t="n"/>
      <c r="C855" s="57" t="n"/>
      <c r="D855" s="73" t="n"/>
      <c r="E855" s="57" t="n"/>
      <c r="F855" s="57" t="n"/>
      <c r="G855" s="57" t="n"/>
      <c r="H855" s="74">
        <f>IF(C855="","",IF(OR(C855="Received",C855="Transfer In",C855="Adjustment In",C855="Return In"),D855,-D855))</f>
        <v/>
      </c>
    </row>
    <row r="856">
      <c r="A856" s="72" t="n"/>
      <c r="B856" s="57" t="n"/>
      <c r="C856" s="57" t="n"/>
      <c r="D856" s="73" t="n"/>
      <c r="E856" s="57" t="n"/>
      <c r="F856" s="57" t="n"/>
      <c r="G856" s="57" t="n"/>
      <c r="H856" s="74">
        <f>IF(C856="","",IF(OR(C856="Received",C856="Transfer In",C856="Adjustment In",C856="Return In"),D856,-D856))</f>
        <v/>
      </c>
    </row>
    <row r="857">
      <c r="A857" s="72" t="n"/>
      <c r="B857" s="57" t="n"/>
      <c r="C857" s="57" t="n"/>
      <c r="D857" s="73" t="n"/>
      <c r="E857" s="57" t="n"/>
      <c r="F857" s="57" t="n"/>
      <c r="G857" s="57" t="n"/>
      <c r="H857" s="74">
        <f>IF(C857="","",IF(OR(C857="Received",C857="Transfer In",C857="Adjustment In",C857="Return In"),D857,-D857))</f>
        <v/>
      </c>
    </row>
    <row r="858">
      <c r="A858" s="72" t="n"/>
      <c r="B858" s="57" t="n"/>
      <c r="C858" s="57" t="n"/>
      <c r="D858" s="73" t="n"/>
      <c r="E858" s="57" t="n"/>
      <c r="F858" s="57" t="n"/>
      <c r="G858" s="57" t="n"/>
      <c r="H858" s="74">
        <f>IF(C858="","",IF(OR(C858="Received",C858="Transfer In",C858="Adjustment In",C858="Return In"),D858,-D858))</f>
        <v/>
      </c>
    </row>
    <row r="859">
      <c r="A859" s="72" t="n"/>
      <c r="B859" s="57" t="n"/>
      <c r="C859" s="57" t="n"/>
      <c r="D859" s="73" t="n"/>
      <c r="E859" s="57" t="n"/>
      <c r="F859" s="57" t="n"/>
      <c r="G859" s="57" t="n"/>
      <c r="H859" s="74">
        <f>IF(C859="","",IF(OR(C859="Received",C859="Transfer In",C859="Adjustment In",C859="Return In"),D859,-D859))</f>
        <v/>
      </c>
    </row>
    <row r="860">
      <c r="A860" s="72" t="n"/>
      <c r="B860" s="57" t="n"/>
      <c r="C860" s="57" t="n"/>
      <c r="D860" s="73" t="n"/>
      <c r="E860" s="57" t="n"/>
      <c r="F860" s="57" t="n"/>
      <c r="G860" s="57" t="n"/>
      <c r="H860" s="74">
        <f>IF(C860="","",IF(OR(C860="Received",C860="Transfer In",C860="Adjustment In",C860="Return In"),D860,-D860))</f>
        <v/>
      </c>
    </row>
    <row r="861">
      <c r="A861" s="72" t="n"/>
      <c r="B861" s="57" t="n"/>
      <c r="C861" s="57" t="n"/>
      <c r="D861" s="73" t="n"/>
      <c r="E861" s="57" t="n"/>
      <c r="F861" s="57" t="n"/>
      <c r="G861" s="57" t="n"/>
      <c r="H861" s="74">
        <f>IF(C861="","",IF(OR(C861="Received",C861="Transfer In",C861="Adjustment In",C861="Return In"),D861,-D861))</f>
        <v/>
      </c>
    </row>
    <row r="862">
      <c r="A862" s="72" t="n"/>
      <c r="B862" s="57" t="n"/>
      <c r="C862" s="57" t="n"/>
      <c r="D862" s="73" t="n"/>
      <c r="E862" s="57" t="n"/>
      <c r="F862" s="57" t="n"/>
      <c r="G862" s="57" t="n"/>
      <c r="H862" s="74">
        <f>IF(C862="","",IF(OR(C862="Received",C862="Transfer In",C862="Adjustment In",C862="Return In"),D862,-D862))</f>
        <v/>
      </c>
    </row>
    <row r="863">
      <c r="A863" s="72" t="n"/>
      <c r="B863" s="57" t="n"/>
      <c r="C863" s="57" t="n"/>
      <c r="D863" s="73" t="n"/>
      <c r="E863" s="57" t="n"/>
      <c r="F863" s="57" t="n"/>
      <c r="G863" s="57" t="n"/>
      <c r="H863" s="74">
        <f>IF(C863="","",IF(OR(C863="Received",C863="Transfer In",C863="Adjustment In",C863="Return In"),D863,-D863))</f>
        <v/>
      </c>
    </row>
    <row r="864">
      <c r="A864" s="72" t="n"/>
      <c r="B864" s="57" t="n"/>
      <c r="C864" s="57" t="n"/>
      <c r="D864" s="73" t="n"/>
      <c r="E864" s="57" t="n"/>
      <c r="F864" s="57" t="n"/>
      <c r="G864" s="57" t="n"/>
      <c r="H864" s="74">
        <f>IF(C864="","",IF(OR(C864="Received",C864="Transfer In",C864="Adjustment In",C864="Return In"),D864,-D864))</f>
        <v/>
      </c>
    </row>
    <row r="865">
      <c r="A865" s="72" t="n"/>
      <c r="B865" s="57" t="n"/>
      <c r="C865" s="57" t="n"/>
      <c r="D865" s="73" t="n"/>
      <c r="E865" s="57" t="n"/>
      <c r="F865" s="57" t="n"/>
      <c r="G865" s="57" t="n"/>
      <c r="H865" s="74">
        <f>IF(C865="","",IF(OR(C865="Received",C865="Transfer In",C865="Adjustment In",C865="Return In"),D865,-D865))</f>
        <v/>
      </c>
    </row>
    <row r="866">
      <c r="A866" s="72" t="n"/>
      <c r="B866" s="57" t="n"/>
      <c r="C866" s="57" t="n"/>
      <c r="D866" s="73" t="n"/>
      <c r="E866" s="57" t="n"/>
      <c r="F866" s="57" t="n"/>
      <c r="G866" s="57" t="n"/>
      <c r="H866" s="74">
        <f>IF(C866="","",IF(OR(C866="Received",C866="Transfer In",C866="Adjustment In",C866="Return In"),D866,-D866))</f>
        <v/>
      </c>
    </row>
    <row r="867">
      <c r="A867" s="72" t="n"/>
      <c r="B867" s="57" t="n"/>
      <c r="C867" s="57" t="n"/>
      <c r="D867" s="73" t="n"/>
      <c r="E867" s="57" t="n"/>
      <c r="F867" s="57" t="n"/>
      <c r="G867" s="57" t="n"/>
      <c r="H867" s="74">
        <f>IF(C867="","",IF(OR(C867="Received",C867="Transfer In",C867="Adjustment In",C867="Return In"),D867,-D867))</f>
        <v/>
      </c>
    </row>
    <row r="868">
      <c r="A868" s="72" t="n"/>
      <c r="B868" s="57" t="n"/>
      <c r="C868" s="57" t="n"/>
      <c r="D868" s="73" t="n"/>
      <c r="E868" s="57" t="n"/>
      <c r="F868" s="57" t="n"/>
      <c r="G868" s="57" t="n"/>
      <c r="H868" s="74">
        <f>IF(C868="","",IF(OR(C868="Received",C868="Transfer In",C868="Adjustment In",C868="Return In"),D868,-D868))</f>
        <v/>
      </c>
    </row>
    <row r="869">
      <c r="A869" s="72" t="n"/>
      <c r="B869" s="57" t="n"/>
      <c r="C869" s="57" t="n"/>
      <c r="D869" s="73" t="n"/>
      <c r="E869" s="57" t="n"/>
      <c r="F869" s="57" t="n"/>
      <c r="G869" s="57" t="n"/>
      <c r="H869" s="74">
        <f>IF(C869="","",IF(OR(C869="Received",C869="Transfer In",C869="Adjustment In",C869="Return In"),D869,-D869))</f>
        <v/>
      </c>
    </row>
    <row r="870">
      <c r="A870" s="72" t="n"/>
      <c r="B870" s="57" t="n"/>
      <c r="C870" s="57" t="n"/>
      <c r="D870" s="73" t="n"/>
      <c r="E870" s="57" t="n"/>
      <c r="F870" s="57" t="n"/>
      <c r="G870" s="57" t="n"/>
      <c r="H870" s="74">
        <f>IF(C870="","",IF(OR(C870="Received",C870="Transfer In",C870="Adjustment In",C870="Return In"),D870,-D870))</f>
        <v/>
      </c>
    </row>
    <row r="871">
      <c r="A871" s="72" t="n"/>
      <c r="B871" s="57" t="n"/>
      <c r="C871" s="57" t="n"/>
      <c r="D871" s="73" t="n"/>
      <c r="E871" s="57" t="n"/>
      <c r="F871" s="57" t="n"/>
      <c r="G871" s="57" t="n"/>
      <c r="H871" s="74">
        <f>IF(C871="","",IF(OR(C871="Received",C871="Transfer In",C871="Adjustment In",C871="Return In"),D871,-D871))</f>
        <v/>
      </c>
    </row>
    <row r="872">
      <c r="A872" s="72" t="n"/>
      <c r="B872" s="57" t="n"/>
      <c r="C872" s="57" t="n"/>
      <c r="D872" s="73" t="n"/>
      <c r="E872" s="57" t="n"/>
      <c r="F872" s="57" t="n"/>
      <c r="G872" s="57" t="n"/>
      <c r="H872" s="74">
        <f>IF(C872="","",IF(OR(C872="Received",C872="Transfer In",C872="Adjustment In",C872="Return In"),D872,-D872))</f>
        <v/>
      </c>
    </row>
    <row r="873">
      <c r="A873" s="72" t="n"/>
      <c r="B873" s="57" t="n"/>
      <c r="C873" s="57" t="n"/>
      <c r="D873" s="73" t="n"/>
      <c r="E873" s="57" t="n"/>
      <c r="F873" s="57" t="n"/>
      <c r="G873" s="57" t="n"/>
      <c r="H873" s="74">
        <f>IF(C873="","",IF(OR(C873="Received",C873="Transfer In",C873="Adjustment In",C873="Return In"),D873,-D873))</f>
        <v/>
      </c>
    </row>
    <row r="874">
      <c r="A874" s="72" t="n"/>
      <c r="B874" s="57" t="n"/>
      <c r="C874" s="57" t="n"/>
      <c r="D874" s="73" t="n"/>
      <c r="E874" s="57" t="n"/>
      <c r="F874" s="57" t="n"/>
      <c r="G874" s="57" t="n"/>
      <c r="H874" s="74">
        <f>IF(C874="","",IF(OR(C874="Received",C874="Transfer In",C874="Adjustment In",C874="Return In"),D874,-D874))</f>
        <v/>
      </c>
    </row>
    <row r="875">
      <c r="A875" s="72" t="n"/>
      <c r="B875" s="57" t="n"/>
      <c r="C875" s="57" t="n"/>
      <c r="D875" s="73" t="n"/>
      <c r="E875" s="57" t="n"/>
      <c r="F875" s="57" t="n"/>
      <c r="G875" s="57" t="n"/>
      <c r="H875" s="74">
        <f>IF(C875="","",IF(OR(C875="Received",C875="Transfer In",C875="Adjustment In",C875="Return In"),D875,-D875))</f>
        <v/>
      </c>
    </row>
    <row r="876">
      <c r="A876" s="72" t="n"/>
      <c r="B876" s="57" t="n"/>
      <c r="C876" s="57" t="n"/>
      <c r="D876" s="73" t="n"/>
      <c r="E876" s="57" t="n"/>
      <c r="F876" s="57" t="n"/>
      <c r="G876" s="57" t="n"/>
      <c r="H876" s="74">
        <f>IF(C876="","",IF(OR(C876="Received",C876="Transfer In",C876="Adjustment In",C876="Return In"),D876,-D876))</f>
        <v/>
      </c>
    </row>
    <row r="877">
      <c r="A877" s="72" t="n"/>
      <c r="B877" s="57" t="n"/>
      <c r="C877" s="57" t="n"/>
      <c r="D877" s="73" t="n"/>
      <c r="E877" s="57" t="n"/>
      <c r="F877" s="57" t="n"/>
      <c r="G877" s="57" t="n"/>
      <c r="H877" s="74">
        <f>IF(C877="","",IF(OR(C877="Received",C877="Transfer In",C877="Adjustment In",C877="Return In"),D877,-D877))</f>
        <v/>
      </c>
    </row>
    <row r="878">
      <c r="A878" s="72" t="n"/>
      <c r="B878" s="57" t="n"/>
      <c r="C878" s="57" t="n"/>
      <c r="D878" s="73" t="n"/>
      <c r="E878" s="57" t="n"/>
      <c r="F878" s="57" t="n"/>
      <c r="G878" s="57" t="n"/>
      <c r="H878" s="74">
        <f>IF(C878="","",IF(OR(C878="Received",C878="Transfer In",C878="Adjustment In",C878="Return In"),D878,-D878))</f>
        <v/>
      </c>
    </row>
    <row r="879">
      <c r="A879" s="72" t="n"/>
      <c r="B879" s="57" t="n"/>
      <c r="C879" s="57" t="n"/>
      <c r="D879" s="73" t="n"/>
      <c r="E879" s="57" t="n"/>
      <c r="F879" s="57" t="n"/>
      <c r="G879" s="57" t="n"/>
      <c r="H879" s="74">
        <f>IF(C879="","",IF(OR(C879="Received",C879="Transfer In",C879="Adjustment In",C879="Return In"),D879,-D879))</f>
        <v/>
      </c>
    </row>
    <row r="880">
      <c r="A880" s="72" t="n"/>
      <c r="B880" s="57" t="n"/>
      <c r="C880" s="57" t="n"/>
      <c r="D880" s="73" t="n"/>
      <c r="E880" s="57" t="n"/>
      <c r="F880" s="57" t="n"/>
      <c r="G880" s="57" t="n"/>
      <c r="H880" s="74">
        <f>IF(C880="","",IF(OR(C880="Received",C880="Transfer In",C880="Adjustment In",C880="Return In"),D880,-D880))</f>
        <v/>
      </c>
    </row>
    <row r="881">
      <c r="A881" s="72" t="n"/>
      <c r="B881" s="57" t="n"/>
      <c r="C881" s="57" t="n"/>
      <c r="D881" s="73" t="n"/>
      <c r="E881" s="57" t="n"/>
      <c r="F881" s="57" t="n"/>
      <c r="G881" s="57" t="n"/>
      <c r="H881" s="74">
        <f>IF(C881="","",IF(OR(C881="Received",C881="Transfer In",C881="Adjustment In",C881="Return In"),D881,-D881))</f>
        <v/>
      </c>
    </row>
    <row r="882">
      <c r="A882" s="72" t="n"/>
      <c r="B882" s="57" t="n"/>
      <c r="C882" s="57" t="n"/>
      <c r="D882" s="73" t="n"/>
      <c r="E882" s="57" t="n"/>
      <c r="F882" s="57" t="n"/>
      <c r="G882" s="57" t="n"/>
      <c r="H882" s="74">
        <f>IF(C882="","",IF(OR(C882="Received",C882="Transfer In",C882="Adjustment In",C882="Return In"),D882,-D882))</f>
        <v/>
      </c>
    </row>
    <row r="883">
      <c r="A883" s="72" t="n"/>
      <c r="B883" s="57" t="n"/>
      <c r="C883" s="57" t="n"/>
      <c r="D883" s="73" t="n"/>
      <c r="E883" s="57" t="n"/>
      <c r="F883" s="57" t="n"/>
      <c r="G883" s="57" t="n"/>
      <c r="H883" s="74">
        <f>IF(C883="","",IF(OR(C883="Received",C883="Transfer In",C883="Adjustment In",C883="Return In"),D883,-D883))</f>
        <v/>
      </c>
    </row>
    <row r="884">
      <c r="A884" s="72" t="n"/>
      <c r="B884" s="57" t="n"/>
      <c r="C884" s="57" t="n"/>
      <c r="D884" s="73" t="n"/>
      <c r="E884" s="57" t="n"/>
      <c r="F884" s="57" t="n"/>
      <c r="G884" s="57" t="n"/>
      <c r="H884" s="74">
        <f>IF(C884="","",IF(OR(C884="Received",C884="Transfer In",C884="Adjustment In",C884="Return In"),D884,-D884))</f>
        <v/>
      </c>
    </row>
    <row r="885">
      <c r="A885" s="72" t="n"/>
      <c r="B885" s="57" t="n"/>
      <c r="C885" s="57" t="n"/>
      <c r="D885" s="73" t="n"/>
      <c r="E885" s="57" t="n"/>
      <c r="F885" s="57" t="n"/>
      <c r="G885" s="57" t="n"/>
      <c r="H885" s="74">
        <f>IF(C885="","",IF(OR(C885="Received",C885="Transfer In",C885="Adjustment In",C885="Return In"),D885,-D885))</f>
        <v/>
      </c>
    </row>
    <row r="886">
      <c r="A886" s="72" t="n"/>
      <c r="B886" s="57" t="n"/>
      <c r="C886" s="57" t="n"/>
      <c r="D886" s="73" t="n"/>
      <c r="E886" s="57" t="n"/>
      <c r="F886" s="57" t="n"/>
      <c r="G886" s="57" t="n"/>
      <c r="H886" s="74">
        <f>IF(C886="","",IF(OR(C886="Received",C886="Transfer In",C886="Adjustment In",C886="Return In"),D886,-D886))</f>
        <v/>
      </c>
    </row>
    <row r="887">
      <c r="A887" s="72" t="n"/>
      <c r="B887" s="57" t="n"/>
      <c r="C887" s="57" t="n"/>
      <c r="D887" s="73" t="n"/>
      <c r="E887" s="57" t="n"/>
      <c r="F887" s="57" t="n"/>
      <c r="G887" s="57" t="n"/>
      <c r="H887" s="74">
        <f>IF(C887="","",IF(OR(C887="Received",C887="Transfer In",C887="Adjustment In",C887="Return In"),D887,-D887))</f>
        <v/>
      </c>
    </row>
    <row r="888">
      <c r="A888" s="72" t="n"/>
      <c r="B888" s="57" t="n"/>
      <c r="C888" s="57" t="n"/>
      <c r="D888" s="73" t="n"/>
      <c r="E888" s="57" t="n"/>
      <c r="F888" s="57" t="n"/>
      <c r="G888" s="57" t="n"/>
      <c r="H888" s="74">
        <f>IF(C888="","",IF(OR(C888="Received",C888="Transfer In",C888="Adjustment In",C888="Return In"),D888,-D888))</f>
        <v/>
      </c>
    </row>
    <row r="889">
      <c r="A889" s="72" t="n"/>
      <c r="B889" s="57" t="n"/>
      <c r="C889" s="57" t="n"/>
      <c r="D889" s="73" t="n"/>
      <c r="E889" s="57" t="n"/>
      <c r="F889" s="57" t="n"/>
      <c r="G889" s="57" t="n"/>
      <c r="H889" s="74">
        <f>IF(C889="","",IF(OR(C889="Received",C889="Transfer In",C889="Adjustment In",C889="Return In"),D889,-D889))</f>
        <v/>
      </c>
    </row>
    <row r="890">
      <c r="A890" s="72" t="n"/>
      <c r="B890" s="57" t="n"/>
      <c r="C890" s="57" t="n"/>
      <c r="D890" s="73" t="n"/>
      <c r="E890" s="57" t="n"/>
      <c r="F890" s="57" t="n"/>
      <c r="G890" s="57" t="n"/>
      <c r="H890" s="74">
        <f>IF(C890="","",IF(OR(C890="Received",C890="Transfer In",C890="Adjustment In",C890="Return In"),D890,-D890))</f>
        <v/>
      </c>
    </row>
    <row r="891">
      <c r="A891" s="72" t="n"/>
      <c r="B891" s="57" t="n"/>
      <c r="C891" s="57" t="n"/>
      <c r="D891" s="73" t="n"/>
      <c r="E891" s="57" t="n"/>
      <c r="F891" s="57" t="n"/>
      <c r="G891" s="57" t="n"/>
      <c r="H891" s="74">
        <f>IF(C891="","",IF(OR(C891="Received",C891="Transfer In",C891="Adjustment In",C891="Return In"),D891,-D891))</f>
        <v/>
      </c>
    </row>
    <row r="892">
      <c r="A892" s="72" t="n"/>
      <c r="B892" s="57" t="n"/>
      <c r="C892" s="57" t="n"/>
      <c r="D892" s="73" t="n"/>
      <c r="E892" s="57" t="n"/>
      <c r="F892" s="57" t="n"/>
      <c r="G892" s="57" t="n"/>
      <c r="H892" s="74">
        <f>IF(C892="","",IF(OR(C892="Received",C892="Transfer In",C892="Adjustment In",C892="Return In"),D892,-D892))</f>
        <v/>
      </c>
    </row>
    <row r="893">
      <c r="A893" s="72" t="n"/>
      <c r="B893" s="57" t="n"/>
      <c r="C893" s="57" t="n"/>
      <c r="D893" s="73" t="n"/>
      <c r="E893" s="57" t="n"/>
      <c r="F893" s="57" t="n"/>
      <c r="G893" s="57" t="n"/>
      <c r="H893" s="74">
        <f>IF(C893="","",IF(OR(C893="Received",C893="Transfer In",C893="Adjustment In",C893="Return In"),D893,-D893))</f>
        <v/>
      </c>
    </row>
    <row r="894">
      <c r="A894" s="72" t="n"/>
      <c r="B894" s="57" t="n"/>
      <c r="C894" s="57" t="n"/>
      <c r="D894" s="73" t="n"/>
      <c r="E894" s="57" t="n"/>
      <c r="F894" s="57" t="n"/>
      <c r="G894" s="57" t="n"/>
      <c r="H894" s="74">
        <f>IF(C894="","",IF(OR(C894="Received",C894="Transfer In",C894="Adjustment In",C894="Return In"),D894,-D894))</f>
        <v/>
      </c>
    </row>
    <row r="895">
      <c r="A895" s="72" t="n"/>
      <c r="B895" s="57" t="n"/>
      <c r="C895" s="57" t="n"/>
      <c r="D895" s="73" t="n"/>
      <c r="E895" s="57" t="n"/>
      <c r="F895" s="57" t="n"/>
      <c r="G895" s="57" t="n"/>
      <c r="H895" s="74">
        <f>IF(C895="","",IF(OR(C895="Received",C895="Transfer In",C895="Adjustment In",C895="Return In"),D895,-D895))</f>
        <v/>
      </c>
    </row>
    <row r="896">
      <c r="A896" s="72" t="n"/>
      <c r="B896" s="57" t="n"/>
      <c r="C896" s="57" t="n"/>
      <c r="D896" s="73" t="n"/>
      <c r="E896" s="57" t="n"/>
      <c r="F896" s="57" t="n"/>
      <c r="G896" s="57" t="n"/>
      <c r="H896" s="74">
        <f>IF(C896="","",IF(OR(C896="Received",C896="Transfer In",C896="Adjustment In",C896="Return In"),D896,-D896))</f>
        <v/>
      </c>
    </row>
    <row r="897">
      <c r="A897" s="72" t="n"/>
      <c r="B897" s="57" t="n"/>
      <c r="C897" s="57" t="n"/>
      <c r="D897" s="73" t="n"/>
      <c r="E897" s="57" t="n"/>
      <c r="F897" s="57" t="n"/>
      <c r="G897" s="57" t="n"/>
      <c r="H897" s="74">
        <f>IF(C897="","",IF(OR(C897="Received",C897="Transfer In",C897="Adjustment In",C897="Return In"),D897,-D897))</f>
        <v/>
      </c>
    </row>
    <row r="898">
      <c r="A898" s="72" t="n"/>
      <c r="B898" s="57" t="n"/>
      <c r="C898" s="57" t="n"/>
      <c r="D898" s="73" t="n"/>
      <c r="E898" s="57" t="n"/>
      <c r="F898" s="57" t="n"/>
      <c r="G898" s="57" t="n"/>
      <c r="H898" s="74">
        <f>IF(C898="","",IF(OR(C898="Received",C898="Transfer In",C898="Adjustment In",C898="Return In"),D898,-D898))</f>
        <v/>
      </c>
    </row>
    <row r="899">
      <c r="A899" s="72" t="n"/>
      <c r="B899" s="57" t="n"/>
      <c r="C899" s="57" t="n"/>
      <c r="D899" s="73" t="n"/>
      <c r="E899" s="57" t="n"/>
      <c r="F899" s="57" t="n"/>
      <c r="G899" s="57" t="n"/>
      <c r="H899" s="74">
        <f>IF(C899="","",IF(OR(C899="Received",C899="Transfer In",C899="Adjustment In",C899="Return In"),D899,-D899))</f>
        <v/>
      </c>
    </row>
    <row r="900">
      <c r="A900" s="72" t="n"/>
      <c r="B900" s="57" t="n"/>
      <c r="C900" s="57" t="n"/>
      <c r="D900" s="73" t="n"/>
      <c r="E900" s="57" t="n"/>
      <c r="F900" s="57" t="n"/>
      <c r="G900" s="57" t="n"/>
      <c r="H900" s="74">
        <f>IF(C900="","",IF(OR(C900="Received",C900="Transfer In",C900="Adjustment In",C900="Return In"),D900,-D900))</f>
        <v/>
      </c>
    </row>
    <row r="901">
      <c r="A901" s="72" t="n"/>
      <c r="B901" s="57" t="n"/>
      <c r="C901" s="57" t="n"/>
      <c r="D901" s="73" t="n"/>
      <c r="E901" s="57" t="n"/>
      <c r="F901" s="57" t="n"/>
      <c r="G901" s="57" t="n"/>
      <c r="H901" s="74">
        <f>IF(C901="","",IF(OR(C901="Received",C901="Transfer In",C901="Adjustment In",C901="Return In"),D901,-D901))</f>
        <v/>
      </c>
    </row>
    <row r="902">
      <c r="A902" s="72" t="n"/>
      <c r="B902" s="57" t="n"/>
      <c r="C902" s="57" t="n"/>
      <c r="D902" s="73" t="n"/>
      <c r="E902" s="57" t="n"/>
      <c r="F902" s="57" t="n"/>
      <c r="G902" s="57" t="n"/>
      <c r="H902" s="74">
        <f>IF(C902="","",IF(OR(C902="Received",C902="Transfer In",C902="Adjustment In",C902="Return In"),D902,-D902))</f>
        <v/>
      </c>
    </row>
    <row r="903">
      <c r="A903" s="72" t="n"/>
      <c r="B903" s="57" t="n"/>
      <c r="C903" s="57" t="n"/>
      <c r="D903" s="73" t="n"/>
      <c r="E903" s="57" t="n"/>
      <c r="F903" s="57" t="n"/>
      <c r="G903" s="57" t="n"/>
      <c r="H903" s="74">
        <f>IF(C903="","",IF(OR(C903="Received",C903="Transfer In",C903="Adjustment In",C903="Return In"),D903,-D903))</f>
        <v/>
      </c>
    </row>
    <row r="904">
      <c r="A904" s="72" t="n"/>
      <c r="B904" s="57" t="n"/>
      <c r="C904" s="57" t="n"/>
      <c r="D904" s="73" t="n"/>
      <c r="E904" s="57" t="n"/>
      <c r="F904" s="57" t="n"/>
      <c r="G904" s="57" t="n"/>
      <c r="H904" s="74">
        <f>IF(C904="","",IF(OR(C904="Received",C904="Transfer In",C904="Adjustment In",C904="Return In"),D904,-D904))</f>
        <v/>
      </c>
    </row>
    <row r="905">
      <c r="A905" s="72" t="n"/>
      <c r="B905" s="57" t="n"/>
      <c r="C905" s="57" t="n"/>
      <c r="D905" s="73" t="n"/>
      <c r="E905" s="57" t="n"/>
      <c r="F905" s="57" t="n"/>
      <c r="G905" s="57" t="n"/>
      <c r="H905" s="74">
        <f>IF(C905="","",IF(OR(C905="Received",C905="Transfer In",C905="Adjustment In",C905="Return In"),D905,-D905))</f>
        <v/>
      </c>
    </row>
    <row r="906">
      <c r="A906" s="72" t="n"/>
      <c r="B906" s="57" t="n"/>
      <c r="C906" s="57" t="n"/>
      <c r="D906" s="73" t="n"/>
      <c r="E906" s="57" t="n"/>
      <c r="F906" s="57" t="n"/>
      <c r="G906" s="57" t="n"/>
      <c r="H906" s="74">
        <f>IF(C906="","",IF(OR(C906="Received",C906="Transfer In",C906="Adjustment In",C906="Return In"),D906,-D906))</f>
        <v/>
      </c>
    </row>
    <row r="907">
      <c r="A907" s="72" t="n"/>
      <c r="B907" s="57" t="n"/>
      <c r="C907" s="57" t="n"/>
      <c r="D907" s="73" t="n"/>
      <c r="E907" s="57" t="n"/>
      <c r="F907" s="57" t="n"/>
      <c r="G907" s="57" t="n"/>
      <c r="H907" s="74">
        <f>IF(C907="","",IF(OR(C907="Received",C907="Transfer In",C907="Adjustment In",C907="Return In"),D907,-D907))</f>
        <v/>
      </c>
    </row>
    <row r="908">
      <c r="A908" s="72" t="n"/>
      <c r="B908" s="57" t="n"/>
      <c r="C908" s="57" t="n"/>
      <c r="D908" s="73" t="n"/>
      <c r="E908" s="57" t="n"/>
      <c r="F908" s="57" t="n"/>
      <c r="G908" s="57" t="n"/>
      <c r="H908" s="74">
        <f>IF(C908="","",IF(OR(C908="Received",C908="Transfer In",C908="Adjustment In",C908="Return In"),D908,-D908))</f>
        <v/>
      </c>
    </row>
    <row r="909">
      <c r="A909" s="72" t="n"/>
      <c r="B909" s="57" t="n"/>
      <c r="C909" s="57" t="n"/>
      <c r="D909" s="73" t="n"/>
      <c r="E909" s="57" t="n"/>
      <c r="F909" s="57" t="n"/>
      <c r="G909" s="57" t="n"/>
      <c r="H909" s="74">
        <f>IF(C909="","",IF(OR(C909="Received",C909="Transfer In",C909="Adjustment In",C909="Return In"),D909,-D909))</f>
        <v/>
      </c>
    </row>
    <row r="910">
      <c r="A910" s="72" t="n"/>
      <c r="B910" s="57" t="n"/>
      <c r="C910" s="57" t="n"/>
      <c r="D910" s="73" t="n"/>
      <c r="E910" s="57" t="n"/>
      <c r="F910" s="57" t="n"/>
      <c r="G910" s="57" t="n"/>
      <c r="H910" s="74">
        <f>IF(C910="","",IF(OR(C910="Received",C910="Transfer In",C910="Adjustment In",C910="Return In"),D910,-D910))</f>
        <v/>
      </c>
    </row>
    <row r="911">
      <c r="A911" s="72" t="n"/>
      <c r="B911" s="57" t="n"/>
      <c r="C911" s="57" t="n"/>
      <c r="D911" s="73" t="n"/>
      <c r="E911" s="57" t="n"/>
      <c r="F911" s="57" t="n"/>
      <c r="G911" s="57" t="n"/>
      <c r="H911" s="74">
        <f>IF(C911="","",IF(OR(C911="Received",C911="Transfer In",C911="Adjustment In",C911="Return In"),D911,-D911))</f>
        <v/>
      </c>
    </row>
    <row r="912">
      <c r="A912" s="72" t="n"/>
      <c r="B912" s="57" t="n"/>
      <c r="C912" s="57" t="n"/>
      <c r="D912" s="73" t="n"/>
      <c r="E912" s="57" t="n"/>
      <c r="F912" s="57" t="n"/>
      <c r="G912" s="57" t="n"/>
      <c r="H912" s="74">
        <f>IF(C912="","",IF(OR(C912="Received",C912="Transfer In",C912="Adjustment In",C912="Return In"),D912,-D912))</f>
        <v/>
      </c>
    </row>
    <row r="913">
      <c r="A913" s="72" t="n"/>
      <c r="B913" s="57" t="n"/>
      <c r="C913" s="57" t="n"/>
      <c r="D913" s="73" t="n"/>
      <c r="E913" s="57" t="n"/>
      <c r="F913" s="57" t="n"/>
      <c r="G913" s="57" t="n"/>
      <c r="H913" s="74">
        <f>IF(C913="","",IF(OR(C913="Received",C913="Transfer In",C913="Adjustment In",C913="Return In"),D913,-D913))</f>
        <v/>
      </c>
    </row>
    <row r="914">
      <c r="A914" s="72" t="n"/>
      <c r="B914" s="57" t="n"/>
      <c r="C914" s="57" t="n"/>
      <c r="D914" s="73" t="n"/>
      <c r="E914" s="57" t="n"/>
      <c r="F914" s="57" t="n"/>
      <c r="G914" s="57" t="n"/>
      <c r="H914" s="74">
        <f>IF(C914="","",IF(OR(C914="Received",C914="Transfer In",C914="Adjustment In",C914="Return In"),D914,-D914))</f>
        <v/>
      </c>
    </row>
    <row r="915">
      <c r="A915" s="72" t="n"/>
      <c r="B915" s="57" t="n"/>
      <c r="C915" s="57" t="n"/>
      <c r="D915" s="73" t="n"/>
      <c r="E915" s="57" t="n"/>
      <c r="F915" s="57" t="n"/>
      <c r="G915" s="57" t="n"/>
      <c r="H915" s="74">
        <f>IF(C915="","",IF(OR(C915="Received",C915="Transfer In",C915="Adjustment In",C915="Return In"),D915,-D915))</f>
        <v/>
      </c>
    </row>
    <row r="916">
      <c r="A916" s="72" t="n"/>
      <c r="B916" s="57" t="n"/>
      <c r="C916" s="57" t="n"/>
      <c r="D916" s="73" t="n"/>
      <c r="E916" s="57" t="n"/>
      <c r="F916" s="57" t="n"/>
      <c r="G916" s="57" t="n"/>
      <c r="H916" s="74">
        <f>IF(C916="","",IF(OR(C916="Received",C916="Transfer In",C916="Adjustment In",C916="Return In"),D916,-D916))</f>
        <v/>
      </c>
    </row>
    <row r="917">
      <c r="A917" s="72" t="n"/>
      <c r="B917" s="57" t="n"/>
      <c r="C917" s="57" t="n"/>
      <c r="D917" s="73" t="n"/>
      <c r="E917" s="57" t="n"/>
      <c r="F917" s="57" t="n"/>
      <c r="G917" s="57" t="n"/>
      <c r="H917" s="74">
        <f>IF(C917="","",IF(OR(C917="Received",C917="Transfer In",C917="Adjustment In",C917="Return In"),D917,-D917))</f>
        <v/>
      </c>
    </row>
    <row r="918">
      <c r="A918" s="72" t="n"/>
      <c r="B918" s="57" t="n"/>
      <c r="C918" s="57" t="n"/>
      <c r="D918" s="73" t="n"/>
      <c r="E918" s="57" t="n"/>
      <c r="F918" s="57" t="n"/>
      <c r="G918" s="57" t="n"/>
      <c r="H918" s="74">
        <f>IF(C918="","",IF(OR(C918="Received",C918="Transfer In",C918="Adjustment In",C918="Return In"),D918,-D918))</f>
        <v/>
      </c>
    </row>
    <row r="919">
      <c r="A919" s="72" t="n"/>
      <c r="B919" s="57" t="n"/>
      <c r="C919" s="57" t="n"/>
      <c r="D919" s="73" t="n"/>
      <c r="E919" s="57" t="n"/>
      <c r="F919" s="57" t="n"/>
      <c r="G919" s="57" t="n"/>
      <c r="H919" s="74">
        <f>IF(C919="","",IF(OR(C919="Received",C919="Transfer In",C919="Adjustment In",C919="Return In"),D919,-D919))</f>
        <v/>
      </c>
    </row>
    <row r="920">
      <c r="A920" s="72" t="n"/>
      <c r="B920" s="57" t="n"/>
      <c r="C920" s="57" t="n"/>
      <c r="D920" s="73" t="n"/>
      <c r="E920" s="57" t="n"/>
      <c r="F920" s="57" t="n"/>
      <c r="G920" s="57" t="n"/>
      <c r="H920" s="74">
        <f>IF(C920="","",IF(OR(C920="Received",C920="Transfer In",C920="Adjustment In",C920="Return In"),D920,-D920))</f>
        <v/>
      </c>
    </row>
    <row r="921">
      <c r="A921" s="72" t="n"/>
      <c r="B921" s="57" t="n"/>
      <c r="C921" s="57" t="n"/>
      <c r="D921" s="73" t="n"/>
      <c r="E921" s="57" t="n"/>
      <c r="F921" s="57" t="n"/>
      <c r="G921" s="57" t="n"/>
      <c r="H921" s="74">
        <f>IF(C921="","",IF(OR(C921="Received",C921="Transfer In",C921="Adjustment In",C921="Return In"),D921,-D921))</f>
        <v/>
      </c>
    </row>
    <row r="922">
      <c r="A922" s="72" t="n"/>
      <c r="B922" s="57" t="n"/>
      <c r="C922" s="57" t="n"/>
      <c r="D922" s="73" t="n"/>
      <c r="E922" s="57" t="n"/>
      <c r="F922" s="57" t="n"/>
      <c r="G922" s="57" t="n"/>
      <c r="H922" s="74">
        <f>IF(C922="","",IF(OR(C922="Received",C922="Transfer In",C922="Adjustment In",C922="Return In"),D922,-D922))</f>
        <v/>
      </c>
    </row>
    <row r="923">
      <c r="A923" s="72" t="n"/>
      <c r="B923" s="57" t="n"/>
      <c r="C923" s="57" t="n"/>
      <c r="D923" s="73" t="n"/>
      <c r="E923" s="57" t="n"/>
      <c r="F923" s="57" t="n"/>
      <c r="G923" s="57" t="n"/>
      <c r="H923" s="74">
        <f>IF(C923="","",IF(OR(C923="Received",C923="Transfer In",C923="Adjustment In",C923="Return In"),D923,-D923))</f>
        <v/>
      </c>
    </row>
    <row r="924">
      <c r="A924" s="72" t="n"/>
      <c r="B924" s="57" t="n"/>
      <c r="C924" s="57" t="n"/>
      <c r="D924" s="73" t="n"/>
      <c r="E924" s="57" t="n"/>
      <c r="F924" s="57" t="n"/>
      <c r="G924" s="57" t="n"/>
      <c r="H924" s="74">
        <f>IF(C924="","",IF(OR(C924="Received",C924="Transfer In",C924="Adjustment In",C924="Return In"),D924,-D924))</f>
        <v/>
      </c>
    </row>
    <row r="925">
      <c r="A925" s="72" t="n"/>
      <c r="B925" s="57" t="n"/>
      <c r="C925" s="57" t="n"/>
      <c r="D925" s="73" t="n"/>
      <c r="E925" s="57" t="n"/>
      <c r="F925" s="57" t="n"/>
      <c r="G925" s="57" t="n"/>
      <c r="H925" s="74">
        <f>IF(C925="","",IF(OR(C925="Received",C925="Transfer In",C925="Adjustment In",C925="Return In"),D925,-D925))</f>
        <v/>
      </c>
    </row>
    <row r="926">
      <c r="A926" s="72" t="n"/>
      <c r="B926" s="57" t="n"/>
      <c r="C926" s="57" t="n"/>
      <c r="D926" s="73" t="n"/>
      <c r="E926" s="57" t="n"/>
      <c r="F926" s="57" t="n"/>
      <c r="G926" s="57" t="n"/>
      <c r="H926" s="74">
        <f>IF(C926="","",IF(OR(C926="Received",C926="Transfer In",C926="Adjustment In",C926="Return In"),D926,-D926))</f>
        <v/>
      </c>
    </row>
    <row r="927">
      <c r="A927" s="72" t="n"/>
      <c r="B927" s="57" t="n"/>
      <c r="C927" s="57" t="n"/>
      <c r="D927" s="73" t="n"/>
      <c r="E927" s="57" t="n"/>
      <c r="F927" s="57" t="n"/>
      <c r="G927" s="57" t="n"/>
      <c r="H927" s="74">
        <f>IF(C927="","",IF(OR(C927="Received",C927="Transfer In",C927="Adjustment In",C927="Return In"),D927,-D927))</f>
        <v/>
      </c>
    </row>
    <row r="928">
      <c r="A928" s="72" t="n"/>
      <c r="B928" s="57" t="n"/>
      <c r="C928" s="57" t="n"/>
      <c r="D928" s="73" t="n"/>
      <c r="E928" s="57" t="n"/>
      <c r="F928" s="57" t="n"/>
      <c r="G928" s="57" t="n"/>
      <c r="H928" s="74">
        <f>IF(C928="","",IF(OR(C928="Received",C928="Transfer In",C928="Adjustment In",C928="Return In"),D928,-D928))</f>
        <v/>
      </c>
    </row>
    <row r="929">
      <c r="A929" s="72" t="n"/>
      <c r="B929" s="57" t="n"/>
      <c r="C929" s="57" t="n"/>
      <c r="D929" s="73" t="n"/>
      <c r="E929" s="57" t="n"/>
      <c r="F929" s="57" t="n"/>
      <c r="G929" s="57" t="n"/>
      <c r="H929" s="74">
        <f>IF(C929="","",IF(OR(C929="Received",C929="Transfer In",C929="Adjustment In",C929="Return In"),D929,-D929))</f>
        <v/>
      </c>
    </row>
    <row r="930">
      <c r="A930" s="72" t="n"/>
      <c r="B930" s="57" t="n"/>
      <c r="C930" s="57" t="n"/>
      <c r="D930" s="73" t="n"/>
      <c r="E930" s="57" t="n"/>
      <c r="F930" s="57" t="n"/>
      <c r="G930" s="57" t="n"/>
      <c r="H930" s="74">
        <f>IF(C930="","",IF(OR(C930="Received",C930="Transfer In",C930="Adjustment In",C930="Return In"),D930,-D930))</f>
        <v/>
      </c>
    </row>
    <row r="931">
      <c r="A931" s="72" t="n"/>
      <c r="B931" s="57" t="n"/>
      <c r="C931" s="57" t="n"/>
      <c r="D931" s="73" t="n"/>
      <c r="E931" s="57" t="n"/>
      <c r="F931" s="57" t="n"/>
      <c r="G931" s="57" t="n"/>
      <c r="H931" s="74">
        <f>IF(C931="","",IF(OR(C931="Received",C931="Transfer In",C931="Adjustment In",C931="Return In"),D931,-D931))</f>
        <v/>
      </c>
    </row>
    <row r="932">
      <c r="A932" s="72" t="n"/>
      <c r="B932" s="57" t="n"/>
      <c r="C932" s="57" t="n"/>
      <c r="D932" s="73" t="n"/>
      <c r="E932" s="57" t="n"/>
      <c r="F932" s="57" t="n"/>
      <c r="G932" s="57" t="n"/>
      <c r="H932" s="74">
        <f>IF(C932="","",IF(OR(C932="Received",C932="Transfer In",C932="Adjustment In",C932="Return In"),D932,-D932))</f>
        <v/>
      </c>
    </row>
    <row r="933">
      <c r="A933" s="72" t="n"/>
      <c r="B933" s="57" t="n"/>
      <c r="C933" s="57" t="n"/>
      <c r="D933" s="73" t="n"/>
      <c r="E933" s="57" t="n"/>
      <c r="F933" s="57" t="n"/>
      <c r="G933" s="57" t="n"/>
      <c r="H933" s="74">
        <f>IF(C933="","",IF(OR(C933="Received",C933="Transfer In",C933="Adjustment In",C933="Return In"),D933,-D933))</f>
        <v/>
      </c>
    </row>
    <row r="934">
      <c r="A934" s="72" t="n"/>
      <c r="B934" s="57" t="n"/>
      <c r="C934" s="57" t="n"/>
      <c r="D934" s="73" t="n"/>
      <c r="E934" s="57" t="n"/>
      <c r="F934" s="57" t="n"/>
      <c r="G934" s="57" t="n"/>
      <c r="H934" s="74">
        <f>IF(C934="","",IF(OR(C934="Received",C934="Transfer In",C934="Adjustment In",C934="Return In"),D934,-D934))</f>
        <v/>
      </c>
    </row>
    <row r="935">
      <c r="A935" s="72" t="n"/>
      <c r="B935" s="57" t="n"/>
      <c r="C935" s="57" t="n"/>
      <c r="D935" s="73" t="n"/>
      <c r="E935" s="57" t="n"/>
      <c r="F935" s="57" t="n"/>
      <c r="G935" s="57" t="n"/>
      <c r="H935" s="74">
        <f>IF(C935="","",IF(OR(C935="Received",C935="Transfer In",C935="Adjustment In",C935="Return In"),D935,-D935))</f>
        <v/>
      </c>
    </row>
    <row r="936">
      <c r="A936" s="72" t="n"/>
      <c r="B936" s="57" t="n"/>
      <c r="C936" s="57" t="n"/>
      <c r="D936" s="73" t="n"/>
      <c r="E936" s="57" t="n"/>
      <c r="F936" s="57" t="n"/>
      <c r="G936" s="57" t="n"/>
      <c r="H936" s="74">
        <f>IF(C936="","",IF(OR(C936="Received",C936="Transfer In",C936="Adjustment In",C936="Return In"),D936,-D936))</f>
        <v/>
      </c>
    </row>
    <row r="937">
      <c r="A937" s="72" t="n"/>
      <c r="B937" s="57" t="n"/>
      <c r="C937" s="57" t="n"/>
      <c r="D937" s="73" t="n"/>
      <c r="E937" s="57" t="n"/>
      <c r="F937" s="57" t="n"/>
      <c r="G937" s="57" t="n"/>
      <c r="H937" s="74">
        <f>IF(C937="","",IF(OR(C937="Received",C937="Transfer In",C937="Adjustment In",C937="Return In"),D937,-D937))</f>
        <v/>
      </c>
    </row>
    <row r="938">
      <c r="A938" s="72" t="n"/>
      <c r="B938" s="57" t="n"/>
      <c r="C938" s="57" t="n"/>
      <c r="D938" s="73" t="n"/>
      <c r="E938" s="57" t="n"/>
      <c r="F938" s="57" t="n"/>
      <c r="G938" s="57" t="n"/>
      <c r="H938" s="74">
        <f>IF(C938="","",IF(OR(C938="Received",C938="Transfer In",C938="Adjustment In",C938="Return In"),D938,-D938))</f>
        <v/>
      </c>
    </row>
    <row r="939">
      <c r="A939" s="72" t="n"/>
      <c r="B939" s="57" t="n"/>
      <c r="C939" s="57" t="n"/>
      <c r="D939" s="73" t="n"/>
      <c r="E939" s="57" t="n"/>
      <c r="F939" s="57" t="n"/>
      <c r="G939" s="57" t="n"/>
      <c r="H939" s="74">
        <f>IF(C939="","",IF(OR(C939="Received",C939="Transfer In",C939="Adjustment In",C939="Return In"),D939,-D939))</f>
        <v/>
      </c>
    </row>
    <row r="940">
      <c r="A940" s="72" t="n"/>
      <c r="B940" s="57" t="n"/>
      <c r="C940" s="57" t="n"/>
      <c r="D940" s="73" t="n"/>
      <c r="E940" s="57" t="n"/>
      <c r="F940" s="57" t="n"/>
      <c r="G940" s="57" t="n"/>
      <c r="H940" s="74">
        <f>IF(C940="","",IF(OR(C940="Received",C940="Transfer In",C940="Adjustment In",C940="Return In"),D940,-D940))</f>
        <v/>
      </c>
    </row>
    <row r="941">
      <c r="A941" s="72" t="n"/>
      <c r="B941" s="57" t="n"/>
      <c r="C941" s="57" t="n"/>
      <c r="D941" s="73" t="n"/>
      <c r="E941" s="57" t="n"/>
      <c r="F941" s="57" t="n"/>
      <c r="G941" s="57" t="n"/>
      <c r="H941" s="74">
        <f>IF(C941="","",IF(OR(C941="Received",C941="Transfer In",C941="Adjustment In",C941="Return In"),D941,-D941))</f>
        <v/>
      </c>
    </row>
    <row r="942">
      <c r="A942" s="72" t="n"/>
      <c r="B942" s="57" t="n"/>
      <c r="C942" s="57" t="n"/>
      <c r="D942" s="73" t="n"/>
      <c r="E942" s="57" t="n"/>
      <c r="F942" s="57" t="n"/>
      <c r="G942" s="57" t="n"/>
      <c r="H942" s="74">
        <f>IF(C942="","",IF(OR(C942="Received",C942="Transfer In",C942="Adjustment In",C942="Return In"),D942,-D942))</f>
        <v/>
      </c>
    </row>
    <row r="943">
      <c r="A943" s="72" t="n"/>
      <c r="B943" s="57" t="n"/>
      <c r="C943" s="57" t="n"/>
      <c r="D943" s="73" t="n"/>
      <c r="E943" s="57" t="n"/>
      <c r="F943" s="57" t="n"/>
      <c r="G943" s="57" t="n"/>
      <c r="H943" s="74">
        <f>IF(C943="","",IF(OR(C943="Received",C943="Transfer In",C943="Adjustment In",C943="Return In"),D943,-D943))</f>
        <v/>
      </c>
    </row>
    <row r="944">
      <c r="A944" s="72" t="n"/>
      <c r="B944" s="57" t="n"/>
      <c r="C944" s="57" t="n"/>
      <c r="D944" s="73" t="n"/>
      <c r="E944" s="57" t="n"/>
      <c r="F944" s="57" t="n"/>
      <c r="G944" s="57" t="n"/>
      <c r="H944" s="74">
        <f>IF(C944="","",IF(OR(C944="Received",C944="Transfer In",C944="Adjustment In",C944="Return In"),D944,-D944))</f>
        <v/>
      </c>
    </row>
    <row r="945">
      <c r="A945" s="72" t="n"/>
      <c r="B945" s="57" t="n"/>
      <c r="C945" s="57" t="n"/>
      <c r="D945" s="73" t="n"/>
      <c r="E945" s="57" t="n"/>
      <c r="F945" s="57" t="n"/>
      <c r="G945" s="57" t="n"/>
      <c r="H945" s="74">
        <f>IF(C945="","",IF(OR(C945="Received",C945="Transfer In",C945="Adjustment In",C945="Return In"),D945,-D945))</f>
        <v/>
      </c>
    </row>
    <row r="946">
      <c r="A946" s="72" t="n"/>
      <c r="B946" s="57" t="n"/>
      <c r="C946" s="57" t="n"/>
      <c r="D946" s="73" t="n"/>
      <c r="E946" s="57" t="n"/>
      <c r="F946" s="57" t="n"/>
      <c r="G946" s="57" t="n"/>
      <c r="H946" s="74">
        <f>IF(C946="","",IF(OR(C946="Received",C946="Transfer In",C946="Adjustment In",C946="Return In"),D946,-D946))</f>
        <v/>
      </c>
    </row>
    <row r="947">
      <c r="A947" s="72" t="n"/>
      <c r="B947" s="57" t="n"/>
      <c r="C947" s="57" t="n"/>
      <c r="D947" s="73" t="n"/>
      <c r="E947" s="57" t="n"/>
      <c r="F947" s="57" t="n"/>
      <c r="G947" s="57" t="n"/>
      <c r="H947" s="74">
        <f>IF(C947="","",IF(OR(C947="Received",C947="Transfer In",C947="Adjustment In",C947="Return In"),D947,-D947))</f>
        <v/>
      </c>
    </row>
    <row r="948">
      <c r="A948" s="72" t="n"/>
      <c r="B948" s="57" t="n"/>
      <c r="C948" s="57" t="n"/>
      <c r="D948" s="73" t="n"/>
      <c r="E948" s="57" t="n"/>
      <c r="F948" s="57" t="n"/>
      <c r="G948" s="57" t="n"/>
      <c r="H948" s="74">
        <f>IF(C948="","",IF(OR(C948="Received",C948="Transfer In",C948="Adjustment In",C948="Return In"),D948,-D948))</f>
        <v/>
      </c>
    </row>
    <row r="949">
      <c r="A949" s="72" t="n"/>
      <c r="B949" s="57" t="n"/>
      <c r="C949" s="57" t="n"/>
      <c r="D949" s="73" t="n"/>
      <c r="E949" s="57" t="n"/>
      <c r="F949" s="57" t="n"/>
      <c r="G949" s="57" t="n"/>
      <c r="H949" s="74">
        <f>IF(C949="","",IF(OR(C949="Received",C949="Transfer In",C949="Adjustment In",C949="Return In"),D949,-D949))</f>
        <v/>
      </c>
    </row>
    <row r="950">
      <c r="A950" s="72" t="n"/>
      <c r="B950" s="57" t="n"/>
      <c r="C950" s="57" t="n"/>
      <c r="D950" s="73" t="n"/>
      <c r="E950" s="57" t="n"/>
      <c r="F950" s="57" t="n"/>
      <c r="G950" s="57" t="n"/>
      <c r="H950" s="74">
        <f>IF(C950="","",IF(OR(C950="Received",C950="Transfer In",C950="Adjustment In",C950="Return In"),D950,-D950))</f>
        <v/>
      </c>
    </row>
    <row r="951">
      <c r="A951" s="72" t="n"/>
      <c r="B951" s="57" t="n"/>
      <c r="C951" s="57" t="n"/>
      <c r="D951" s="73" t="n"/>
      <c r="E951" s="57" t="n"/>
      <c r="F951" s="57" t="n"/>
      <c r="G951" s="57" t="n"/>
      <c r="H951" s="74">
        <f>IF(C951="","",IF(OR(C951="Received",C951="Transfer In",C951="Adjustment In",C951="Return In"),D951,-D951))</f>
        <v/>
      </c>
    </row>
    <row r="952">
      <c r="A952" s="72" t="n"/>
      <c r="B952" s="57" t="n"/>
      <c r="C952" s="57" t="n"/>
      <c r="D952" s="73" t="n"/>
      <c r="E952" s="57" t="n"/>
      <c r="F952" s="57" t="n"/>
      <c r="G952" s="57" t="n"/>
      <c r="H952" s="74">
        <f>IF(C952="","",IF(OR(C952="Received",C952="Transfer In",C952="Adjustment In",C952="Return In"),D952,-D952))</f>
        <v/>
      </c>
    </row>
    <row r="953">
      <c r="A953" s="72" t="n"/>
      <c r="B953" s="57" t="n"/>
      <c r="C953" s="57" t="n"/>
      <c r="D953" s="73" t="n"/>
      <c r="E953" s="57" t="n"/>
      <c r="F953" s="57" t="n"/>
      <c r="G953" s="57" t="n"/>
      <c r="H953" s="74">
        <f>IF(C953="","",IF(OR(C953="Received",C953="Transfer In",C953="Adjustment In",C953="Return In"),D953,-D953))</f>
        <v/>
      </c>
    </row>
    <row r="954">
      <c r="A954" s="72" t="n"/>
      <c r="B954" s="57" t="n"/>
      <c r="C954" s="57" t="n"/>
      <c r="D954" s="73" t="n"/>
      <c r="E954" s="57" t="n"/>
      <c r="F954" s="57" t="n"/>
      <c r="G954" s="57" t="n"/>
      <c r="H954" s="74">
        <f>IF(C954="","",IF(OR(C954="Received",C954="Transfer In",C954="Adjustment In",C954="Return In"),D954,-D954))</f>
        <v/>
      </c>
    </row>
    <row r="955">
      <c r="A955" s="72" t="n"/>
      <c r="B955" s="57" t="n"/>
      <c r="C955" s="57" t="n"/>
      <c r="D955" s="73" t="n"/>
      <c r="E955" s="57" t="n"/>
      <c r="F955" s="57" t="n"/>
      <c r="G955" s="57" t="n"/>
      <c r="H955" s="74">
        <f>IF(C955="","",IF(OR(C955="Received",C955="Transfer In",C955="Adjustment In",C955="Return In"),D955,-D955))</f>
        <v/>
      </c>
    </row>
    <row r="956">
      <c r="A956" s="72" t="n"/>
      <c r="B956" s="57" t="n"/>
      <c r="C956" s="57" t="n"/>
      <c r="D956" s="73" t="n"/>
      <c r="E956" s="57" t="n"/>
      <c r="F956" s="57" t="n"/>
      <c r="G956" s="57" t="n"/>
      <c r="H956" s="74">
        <f>IF(C956="","",IF(OR(C956="Received",C956="Transfer In",C956="Adjustment In",C956="Return In"),D956,-D956))</f>
        <v/>
      </c>
    </row>
    <row r="957">
      <c r="A957" s="72" t="n"/>
      <c r="B957" s="57" t="n"/>
      <c r="C957" s="57" t="n"/>
      <c r="D957" s="73" t="n"/>
      <c r="E957" s="57" t="n"/>
      <c r="F957" s="57" t="n"/>
      <c r="G957" s="57" t="n"/>
      <c r="H957" s="74">
        <f>IF(C957="","",IF(OR(C957="Received",C957="Transfer In",C957="Adjustment In",C957="Return In"),D957,-D957))</f>
        <v/>
      </c>
    </row>
    <row r="958">
      <c r="A958" s="72" t="n"/>
      <c r="B958" s="57" t="n"/>
      <c r="C958" s="57" t="n"/>
      <c r="D958" s="73" t="n"/>
      <c r="E958" s="57" t="n"/>
      <c r="F958" s="57" t="n"/>
      <c r="G958" s="57" t="n"/>
      <c r="H958" s="74">
        <f>IF(C958="","",IF(OR(C958="Received",C958="Transfer In",C958="Adjustment In",C958="Return In"),D958,-D958))</f>
        <v/>
      </c>
    </row>
    <row r="959">
      <c r="A959" s="72" t="n"/>
      <c r="B959" s="57" t="n"/>
      <c r="C959" s="57" t="n"/>
      <c r="D959" s="73" t="n"/>
      <c r="E959" s="57" t="n"/>
      <c r="F959" s="57" t="n"/>
      <c r="G959" s="57" t="n"/>
      <c r="H959" s="74">
        <f>IF(C959="","",IF(OR(C959="Received",C959="Transfer In",C959="Adjustment In",C959="Return In"),D959,-D959))</f>
        <v/>
      </c>
    </row>
    <row r="960">
      <c r="A960" s="72" t="n"/>
      <c r="B960" s="57" t="n"/>
      <c r="C960" s="57" t="n"/>
      <c r="D960" s="73" t="n"/>
      <c r="E960" s="57" t="n"/>
      <c r="F960" s="57" t="n"/>
      <c r="G960" s="57" t="n"/>
      <c r="H960" s="74">
        <f>IF(C960="","",IF(OR(C960="Received",C960="Transfer In",C960="Adjustment In",C960="Return In"),D960,-D960))</f>
        <v/>
      </c>
    </row>
    <row r="961">
      <c r="A961" s="72" t="n"/>
      <c r="B961" s="57" t="n"/>
      <c r="C961" s="57" t="n"/>
      <c r="D961" s="73" t="n"/>
      <c r="E961" s="57" t="n"/>
      <c r="F961" s="57" t="n"/>
      <c r="G961" s="57" t="n"/>
      <c r="H961" s="74">
        <f>IF(C961="","",IF(OR(C961="Received",C961="Transfer In",C961="Adjustment In",C961="Return In"),D961,-D961))</f>
        <v/>
      </c>
    </row>
    <row r="962">
      <c r="A962" s="72" t="n"/>
      <c r="B962" s="57" t="n"/>
      <c r="C962" s="57" t="n"/>
      <c r="D962" s="73" t="n"/>
      <c r="E962" s="57" t="n"/>
      <c r="F962" s="57" t="n"/>
      <c r="G962" s="57" t="n"/>
      <c r="H962" s="74">
        <f>IF(C962="","",IF(OR(C962="Received",C962="Transfer In",C962="Adjustment In",C962="Return In"),D962,-D962))</f>
        <v/>
      </c>
    </row>
    <row r="963">
      <c r="A963" s="72" t="n"/>
      <c r="B963" s="57" t="n"/>
      <c r="C963" s="57" t="n"/>
      <c r="D963" s="73" t="n"/>
      <c r="E963" s="57" t="n"/>
      <c r="F963" s="57" t="n"/>
      <c r="G963" s="57" t="n"/>
      <c r="H963" s="74">
        <f>IF(C963="","",IF(OR(C963="Received",C963="Transfer In",C963="Adjustment In",C963="Return In"),D963,-D963))</f>
        <v/>
      </c>
    </row>
    <row r="964">
      <c r="A964" s="72" t="n"/>
      <c r="B964" s="57" t="n"/>
      <c r="C964" s="57" t="n"/>
      <c r="D964" s="73" t="n"/>
      <c r="E964" s="57" t="n"/>
      <c r="F964" s="57" t="n"/>
      <c r="G964" s="57" t="n"/>
      <c r="H964" s="74">
        <f>IF(C964="","",IF(OR(C964="Received",C964="Transfer In",C964="Adjustment In",C964="Return In"),D964,-D964))</f>
        <v/>
      </c>
    </row>
    <row r="965">
      <c r="A965" s="72" t="n"/>
      <c r="B965" s="57" t="n"/>
      <c r="C965" s="57" t="n"/>
      <c r="D965" s="73" t="n"/>
      <c r="E965" s="57" t="n"/>
      <c r="F965" s="57" t="n"/>
      <c r="G965" s="57" t="n"/>
      <c r="H965" s="74">
        <f>IF(C965="","",IF(OR(C965="Received",C965="Transfer In",C965="Adjustment In",C965="Return In"),D965,-D965))</f>
        <v/>
      </c>
    </row>
    <row r="966">
      <c r="A966" s="72" t="n"/>
      <c r="B966" s="57" t="n"/>
      <c r="C966" s="57" t="n"/>
      <c r="D966" s="73" t="n"/>
      <c r="E966" s="57" t="n"/>
      <c r="F966" s="57" t="n"/>
      <c r="G966" s="57" t="n"/>
      <c r="H966" s="74">
        <f>IF(C966="","",IF(OR(C966="Received",C966="Transfer In",C966="Adjustment In",C966="Return In"),D966,-D966))</f>
        <v/>
      </c>
    </row>
    <row r="967">
      <c r="A967" s="72" t="n"/>
      <c r="B967" s="57" t="n"/>
      <c r="C967" s="57" t="n"/>
      <c r="D967" s="73" t="n"/>
      <c r="E967" s="57" t="n"/>
      <c r="F967" s="57" t="n"/>
      <c r="G967" s="57" t="n"/>
      <c r="H967" s="74">
        <f>IF(C967="","",IF(OR(C967="Received",C967="Transfer In",C967="Adjustment In",C967="Return In"),D967,-D967))</f>
        <v/>
      </c>
    </row>
    <row r="968">
      <c r="A968" s="72" t="n"/>
      <c r="B968" s="57" t="n"/>
      <c r="C968" s="57" t="n"/>
      <c r="D968" s="73" t="n"/>
      <c r="E968" s="57" t="n"/>
      <c r="F968" s="57" t="n"/>
      <c r="G968" s="57" t="n"/>
      <c r="H968" s="74">
        <f>IF(C968="","",IF(OR(C968="Received",C968="Transfer In",C968="Adjustment In",C968="Return In"),D968,-D968))</f>
        <v/>
      </c>
    </row>
    <row r="969">
      <c r="A969" s="72" t="n"/>
      <c r="B969" s="57" t="n"/>
      <c r="C969" s="57" t="n"/>
      <c r="D969" s="73" t="n"/>
      <c r="E969" s="57" t="n"/>
      <c r="F969" s="57" t="n"/>
      <c r="G969" s="57" t="n"/>
      <c r="H969" s="74">
        <f>IF(C969="","",IF(OR(C969="Received",C969="Transfer In",C969="Adjustment In",C969="Return In"),D969,-D969))</f>
        <v/>
      </c>
    </row>
    <row r="970">
      <c r="A970" s="72" t="n"/>
      <c r="B970" s="57" t="n"/>
      <c r="C970" s="57" t="n"/>
      <c r="D970" s="73" t="n"/>
      <c r="E970" s="57" t="n"/>
      <c r="F970" s="57" t="n"/>
      <c r="G970" s="57" t="n"/>
      <c r="H970" s="74">
        <f>IF(C970="","",IF(OR(C970="Received",C970="Transfer In",C970="Adjustment In",C970="Return In"),D970,-D970))</f>
        <v/>
      </c>
    </row>
    <row r="971">
      <c r="A971" s="72" t="n"/>
      <c r="B971" s="57" t="n"/>
      <c r="C971" s="57" t="n"/>
      <c r="D971" s="73" t="n"/>
      <c r="E971" s="57" t="n"/>
      <c r="F971" s="57" t="n"/>
      <c r="G971" s="57" t="n"/>
      <c r="H971" s="74">
        <f>IF(C971="","",IF(OR(C971="Received",C971="Transfer In",C971="Adjustment In",C971="Return In"),D971,-D971))</f>
        <v/>
      </c>
    </row>
    <row r="972">
      <c r="A972" s="72" t="n"/>
      <c r="B972" s="57" t="n"/>
      <c r="C972" s="57" t="n"/>
      <c r="D972" s="73" t="n"/>
      <c r="E972" s="57" t="n"/>
      <c r="F972" s="57" t="n"/>
      <c r="G972" s="57" t="n"/>
      <c r="H972" s="74">
        <f>IF(C972="","",IF(OR(C972="Received",C972="Transfer In",C972="Adjustment In",C972="Return In"),D972,-D972))</f>
        <v/>
      </c>
    </row>
    <row r="973">
      <c r="A973" s="72" t="n"/>
      <c r="B973" s="57" t="n"/>
      <c r="C973" s="57" t="n"/>
      <c r="D973" s="73" t="n"/>
      <c r="E973" s="57" t="n"/>
      <c r="F973" s="57" t="n"/>
      <c r="G973" s="57" t="n"/>
      <c r="H973" s="74">
        <f>IF(C973="","",IF(OR(C973="Received",C973="Transfer In",C973="Adjustment In",C973="Return In"),D973,-D973))</f>
        <v/>
      </c>
    </row>
    <row r="974">
      <c r="A974" s="72" t="n"/>
      <c r="B974" s="57" t="n"/>
      <c r="C974" s="57" t="n"/>
      <c r="D974" s="73" t="n"/>
      <c r="E974" s="57" t="n"/>
      <c r="F974" s="57" t="n"/>
      <c r="G974" s="57" t="n"/>
      <c r="H974" s="74">
        <f>IF(C974="","",IF(OR(C974="Received",C974="Transfer In",C974="Adjustment In",C974="Return In"),D974,-D974))</f>
        <v/>
      </c>
    </row>
    <row r="975">
      <c r="A975" s="72" t="n"/>
      <c r="B975" s="57" t="n"/>
      <c r="C975" s="57" t="n"/>
      <c r="D975" s="73" t="n"/>
      <c r="E975" s="57" t="n"/>
      <c r="F975" s="57" t="n"/>
      <c r="G975" s="57" t="n"/>
      <c r="H975" s="74">
        <f>IF(C975="","",IF(OR(C975="Received",C975="Transfer In",C975="Adjustment In",C975="Return In"),D975,-D975))</f>
        <v/>
      </c>
    </row>
    <row r="976">
      <c r="A976" s="72" t="n"/>
      <c r="B976" s="57" t="n"/>
      <c r="C976" s="57" t="n"/>
      <c r="D976" s="73" t="n"/>
      <c r="E976" s="57" t="n"/>
      <c r="F976" s="57" t="n"/>
      <c r="G976" s="57" t="n"/>
      <c r="H976" s="74">
        <f>IF(C976="","",IF(OR(C976="Received",C976="Transfer In",C976="Adjustment In",C976="Return In"),D976,-D976))</f>
        <v/>
      </c>
    </row>
    <row r="977">
      <c r="A977" s="72" t="n"/>
      <c r="B977" s="57" t="n"/>
      <c r="C977" s="57" t="n"/>
      <c r="D977" s="73" t="n"/>
      <c r="E977" s="57" t="n"/>
      <c r="F977" s="57" t="n"/>
      <c r="G977" s="57" t="n"/>
      <c r="H977" s="74">
        <f>IF(C977="","",IF(OR(C977="Received",C977="Transfer In",C977="Adjustment In",C977="Return In"),D977,-D977))</f>
        <v/>
      </c>
    </row>
    <row r="978">
      <c r="A978" s="72" t="n"/>
      <c r="B978" s="57" t="n"/>
      <c r="C978" s="57" t="n"/>
      <c r="D978" s="73" t="n"/>
      <c r="E978" s="57" t="n"/>
      <c r="F978" s="57" t="n"/>
      <c r="G978" s="57" t="n"/>
      <c r="H978" s="74">
        <f>IF(C978="","",IF(OR(C978="Received",C978="Transfer In",C978="Adjustment In",C978="Return In"),D978,-D978))</f>
        <v/>
      </c>
    </row>
    <row r="979">
      <c r="A979" s="72" t="n"/>
      <c r="B979" s="57" t="n"/>
      <c r="C979" s="57" t="n"/>
      <c r="D979" s="73" t="n"/>
      <c r="E979" s="57" t="n"/>
      <c r="F979" s="57" t="n"/>
      <c r="G979" s="57" t="n"/>
      <c r="H979" s="74">
        <f>IF(C979="","",IF(OR(C979="Received",C979="Transfer In",C979="Adjustment In",C979="Return In"),D979,-D979))</f>
        <v/>
      </c>
    </row>
    <row r="980">
      <c r="A980" s="72" t="n"/>
      <c r="B980" s="57" t="n"/>
      <c r="C980" s="57" t="n"/>
      <c r="D980" s="73" t="n"/>
      <c r="E980" s="57" t="n"/>
      <c r="F980" s="57" t="n"/>
      <c r="G980" s="57" t="n"/>
      <c r="H980" s="74">
        <f>IF(C980="","",IF(OR(C980="Received",C980="Transfer In",C980="Adjustment In",C980="Return In"),D980,-D980))</f>
        <v/>
      </c>
    </row>
    <row r="981">
      <c r="A981" s="72" t="n"/>
      <c r="B981" s="57" t="n"/>
      <c r="C981" s="57" t="n"/>
      <c r="D981" s="73" t="n"/>
      <c r="E981" s="57" t="n"/>
      <c r="F981" s="57" t="n"/>
      <c r="G981" s="57" t="n"/>
      <c r="H981" s="74">
        <f>IF(C981="","",IF(OR(C981="Received",C981="Transfer In",C981="Adjustment In",C981="Return In"),D981,-D981))</f>
        <v/>
      </c>
    </row>
    <row r="982">
      <c r="A982" s="72" t="n"/>
      <c r="B982" s="57" t="n"/>
      <c r="C982" s="57" t="n"/>
      <c r="D982" s="73" t="n"/>
      <c r="E982" s="57" t="n"/>
      <c r="F982" s="57" t="n"/>
      <c r="G982" s="57" t="n"/>
      <c r="H982" s="74">
        <f>IF(C982="","",IF(OR(C982="Received",C982="Transfer In",C982="Adjustment In",C982="Return In"),D982,-D982))</f>
        <v/>
      </c>
    </row>
    <row r="983">
      <c r="A983" s="72" t="n"/>
      <c r="B983" s="57" t="n"/>
      <c r="C983" s="57" t="n"/>
      <c r="D983" s="73" t="n"/>
      <c r="E983" s="57" t="n"/>
      <c r="F983" s="57" t="n"/>
      <c r="G983" s="57" t="n"/>
      <c r="H983" s="74">
        <f>IF(C983="","",IF(OR(C983="Received",C983="Transfer In",C983="Adjustment In",C983="Return In"),D983,-D983))</f>
        <v/>
      </c>
    </row>
    <row r="984">
      <c r="A984" s="72" t="n"/>
      <c r="B984" s="57" t="n"/>
      <c r="C984" s="57" t="n"/>
      <c r="D984" s="73" t="n"/>
      <c r="E984" s="57" t="n"/>
      <c r="F984" s="57" t="n"/>
      <c r="G984" s="57" t="n"/>
      <c r="H984" s="74">
        <f>IF(C984="","",IF(OR(C984="Received",C984="Transfer In",C984="Adjustment In",C984="Return In"),D984,-D984))</f>
        <v/>
      </c>
    </row>
    <row r="985">
      <c r="A985" s="72" t="n"/>
      <c r="B985" s="57" t="n"/>
      <c r="C985" s="57" t="n"/>
      <c r="D985" s="73" t="n"/>
      <c r="E985" s="57" t="n"/>
      <c r="F985" s="57" t="n"/>
      <c r="G985" s="57" t="n"/>
      <c r="H985" s="74">
        <f>IF(C985="","",IF(OR(C985="Received",C985="Transfer In",C985="Adjustment In",C985="Return In"),D985,-D985))</f>
        <v/>
      </c>
    </row>
    <row r="986">
      <c r="A986" s="72" t="n"/>
      <c r="B986" s="57" t="n"/>
      <c r="C986" s="57" t="n"/>
      <c r="D986" s="73" t="n"/>
      <c r="E986" s="57" t="n"/>
      <c r="F986" s="57" t="n"/>
      <c r="G986" s="57" t="n"/>
      <c r="H986" s="74">
        <f>IF(C986="","",IF(OR(C986="Received",C986="Transfer In",C986="Adjustment In",C986="Return In"),D986,-D986))</f>
        <v/>
      </c>
    </row>
    <row r="987">
      <c r="A987" s="72" t="n"/>
      <c r="B987" s="57" t="n"/>
      <c r="C987" s="57" t="n"/>
      <c r="D987" s="73" t="n"/>
      <c r="E987" s="57" t="n"/>
      <c r="F987" s="57" t="n"/>
      <c r="G987" s="57" t="n"/>
      <c r="H987" s="74">
        <f>IF(C987="","",IF(OR(C987="Received",C987="Transfer In",C987="Adjustment In",C987="Return In"),D987,-D987))</f>
        <v/>
      </c>
    </row>
    <row r="988">
      <c r="A988" s="72" t="n"/>
      <c r="B988" s="57" t="n"/>
      <c r="C988" s="57" t="n"/>
      <c r="D988" s="73" t="n"/>
      <c r="E988" s="57" t="n"/>
      <c r="F988" s="57" t="n"/>
      <c r="G988" s="57" t="n"/>
      <c r="H988" s="74">
        <f>IF(C988="","",IF(OR(C988="Received",C988="Transfer In",C988="Adjustment In",C988="Return In"),D988,-D988))</f>
        <v/>
      </c>
    </row>
    <row r="989">
      <c r="A989" s="72" t="n"/>
      <c r="B989" s="57" t="n"/>
      <c r="C989" s="57" t="n"/>
      <c r="D989" s="73" t="n"/>
      <c r="E989" s="57" t="n"/>
      <c r="F989" s="57" t="n"/>
      <c r="G989" s="57" t="n"/>
      <c r="H989" s="74">
        <f>IF(C989="","",IF(OR(C989="Received",C989="Transfer In",C989="Adjustment In",C989="Return In"),D989,-D989))</f>
        <v/>
      </c>
    </row>
    <row r="990">
      <c r="A990" s="72" t="n"/>
      <c r="B990" s="57" t="n"/>
      <c r="C990" s="57" t="n"/>
      <c r="D990" s="73" t="n"/>
      <c r="E990" s="57" t="n"/>
      <c r="F990" s="57" t="n"/>
      <c r="G990" s="57" t="n"/>
      <c r="H990" s="74">
        <f>IF(C990="","",IF(OR(C990="Received",C990="Transfer In",C990="Adjustment In",C990="Return In"),D990,-D990))</f>
        <v/>
      </c>
    </row>
    <row r="991">
      <c r="A991" s="72" t="n"/>
      <c r="B991" s="57" t="n"/>
      <c r="C991" s="57" t="n"/>
      <c r="D991" s="73" t="n"/>
      <c r="E991" s="57" t="n"/>
      <c r="F991" s="57" t="n"/>
      <c r="G991" s="57" t="n"/>
      <c r="H991" s="74">
        <f>IF(C991="","",IF(OR(C991="Received",C991="Transfer In",C991="Adjustment In",C991="Return In"),D991,-D991))</f>
        <v/>
      </c>
    </row>
    <row r="992">
      <c r="A992" s="72" t="n"/>
      <c r="B992" s="57" t="n"/>
      <c r="C992" s="57" t="n"/>
      <c r="D992" s="73" t="n"/>
      <c r="E992" s="57" t="n"/>
      <c r="F992" s="57" t="n"/>
      <c r="G992" s="57" t="n"/>
      <c r="H992" s="74">
        <f>IF(C992="","",IF(OR(C992="Received",C992="Transfer In",C992="Adjustment In",C992="Return In"),D992,-D992))</f>
        <v/>
      </c>
    </row>
    <row r="993">
      <c r="A993" s="72" t="n"/>
      <c r="B993" s="57" t="n"/>
      <c r="C993" s="57" t="n"/>
      <c r="D993" s="73" t="n"/>
      <c r="E993" s="57" t="n"/>
      <c r="F993" s="57" t="n"/>
      <c r="G993" s="57" t="n"/>
      <c r="H993" s="74">
        <f>IF(C993="","",IF(OR(C993="Received",C993="Transfer In",C993="Adjustment In",C993="Return In"),D993,-D993))</f>
        <v/>
      </c>
    </row>
    <row r="994">
      <c r="A994" s="72" t="n"/>
      <c r="B994" s="57" t="n"/>
      <c r="C994" s="57" t="n"/>
      <c r="D994" s="73" t="n"/>
      <c r="E994" s="57" t="n"/>
      <c r="F994" s="57" t="n"/>
      <c r="G994" s="57" t="n"/>
      <c r="H994" s="74">
        <f>IF(C994="","",IF(OR(C994="Received",C994="Transfer In",C994="Adjustment In",C994="Return In"),D994,-D994))</f>
        <v/>
      </c>
    </row>
    <row r="995">
      <c r="A995" s="72" t="n"/>
      <c r="B995" s="57" t="n"/>
      <c r="C995" s="57" t="n"/>
      <c r="D995" s="73" t="n"/>
      <c r="E995" s="57" t="n"/>
      <c r="F995" s="57" t="n"/>
      <c r="G995" s="57" t="n"/>
      <c r="H995" s="74">
        <f>IF(C995="","",IF(OR(C995="Received",C995="Transfer In",C995="Adjustment In",C995="Return In"),D995,-D995))</f>
        <v/>
      </c>
    </row>
    <row r="996">
      <c r="A996" s="72" t="n"/>
      <c r="B996" s="57" t="n"/>
      <c r="C996" s="57" t="n"/>
      <c r="D996" s="73" t="n"/>
      <c r="E996" s="57" t="n"/>
      <c r="F996" s="57" t="n"/>
      <c r="G996" s="57" t="n"/>
      <c r="H996" s="74">
        <f>IF(C996="","",IF(OR(C996="Received",C996="Transfer In",C996="Adjustment In",C996="Return In"),D996,-D996))</f>
        <v/>
      </c>
    </row>
    <row r="997">
      <c r="A997" s="72" t="n"/>
      <c r="B997" s="57" t="n"/>
      <c r="C997" s="57" t="n"/>
      <c r="D997" s="73" t="n"/>
      <c r="E997" s="57" t="n"/>
      <c r="F997" s="57" t="n"/>
      <c r="G997" s="57" t="n"/>
      <c r="H997" s="74">
        <f>IF(C997="","",IF(OR(C997="Received",C997="Transfer In",C997="Adjustment In",C997="Return In"),D997,-D997))</f>
        <v/>
      </c>
    </row>
    <row r="998">
      <c r="A998" s="72" t="n"/>
      <c r="B998" s="57" t="n"/>
      <c r="C998" s="57" t="n"/>
      <c r="D998" s="73" t="n"/>
      <c r="E998" s="57" t="n"/>
      <c r="F998" s="57" t="n"/>
      <c r="G998" s="57" t="n"/>
      <c r="H998" s="74">
        <f>IF(C998="","",IF(OR(C998="Received",C998="Transfer In",C998="Adjustment In",C998="Return In"),D998,-D998))</f>
        <v/>
      </c>
    </row>
    <row r="999">
      <c r="A999" s="72" t="n"/>
      <c r="B999" s="57" t="n"/>
      <c r="C999" s="57" t="n"/>
      <c r="D999" s="73" t="n"/>
      <c r="E999" s="57" t="n"/>
      <c r="F999" s="57" t="n"/>
      <c r="G999" s="57" t="n"/>
      <c r="H999" s="74">
        <f>IF(C999="","",IF(OR(C999="Received",C999="Transfer In",C999="Adjustment In",C999="Return In"),D999,-D999))</f>
        <v/>
      </c>
    </row>
    <row r="1000">
      <c r="A1000" s="72" t="n"/>
      <c r="B1000" s="57" t="n"/>
      <c r="C1000" s="57" t="n"/>
      <c r="D1000" s="73" t="n"/>
      <c r="E1000" s="57" t="n"/>
      <c r="F1000" s="57" t="n"/>
      <c r="G1000" s="57" t="n"/>
      <c r="H1000" s="74">
        <f>IF(C1000="","",IF(OR(C1000="Received",C1000="Transfer In",C1000="Adjustment In",C1000="Return In"),D1000,-D1000))</f>
        <v/>
      </c>
    </row>
    <row r="1001">
      <c r="A1001" s="72" t="n"/>
      <c r="B1001" s="57" t="n"/>
      <c r="C1001" s="57" t="n"/>
      <c r="D1001" s="73" t="n"/>
      <c r="E1001" s="57" t="n"/>
      <c r="F1001" s="57" t="n"/>
      <c r="G1001" s="57" t="n"/>
      <c r="H1001" s="74">
        <f>IF(C1001="","",IF(OR(C1001="Received",C1001="Transfer In",C1001="Adjustment In",C1001="Return In"),D1001,-D1001))</f>
        <v/>
      </c>
    </row>
  </sheetData>
  <dataValidations count="3">
    <dataValidation sqref="C2:C1001" showDropDown="0" showInputMessage="0" showErrorMessage="0" allowBlank="1" type="list">
      <formula1>"Received,Sold,Transfer In,Transfer Out,Adjustment In,Adjustment Out,Return In"</formula1>
    </dataValidation>
    <dataValidation sqref="E2:E1001" showDropDown="0" showInputMessage="0" showErrorMessage="0" allowBlank="1" type="list">
      <formula1>"Studio,Knokke,Warehouse"</formula1>
    </dataValidation>
    <dataValidation sqref="D2:D1001" showDropDown="0" showInputMessage="0" showErrorMessage="0" allowBlank="1" type="whole" operator="greaterThan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0" customWidth="1" min="4" max="4"/>
    <col width="10" customWidth="1" min="5" max="5"/>
    <col width="12" customWidth="1" min="6" max="6"/>
    <col width="10" customWidth="1" min="7" max="7"/>
    <col width="13" customWidth="1" min="8" max="8"/>
    <col width="14" customWidth="1" min="9" max="9"/>
    <col width="16" customWidth="1" min="10" max="10"/>
    <col width="10" customWidth="1" min="11" max="11"/>
    <col width="12" customWidth="1" min="12" max="12"/>
    <col width="13" customWidth="1" min="13" max="13"/>
    <col width="22" customWidth="1" min="14" max="14"/>
  </cols>
  <sheetData>
    <row r="1" ht="22" customHeight="1">
      <c r="A1" s="54" t="inlineStr">
        <is>
          <t>SKU</t>
        </is>
      </c>
      <c r="B1" s="54" t="inlineStr">
        <is>
          <t>Product</t>
        </is>
      </c>
      <c r="C1" s="54" t="inlineStr">
        <is>
          <t>Variant</t>
        </is>
      </c>
      <c r="D1" s="54" t="inlineStr">
        <is>
          <t>Studio</t>
        </is>
      </c>
      <c r="E1" s="54" t="inlineStr">
        <is>
          <t>Knokke</t>
        </is>
      </c>
      <c r="F1" s="54" t="inlineStr">
        <is>
          <t>Warehouse</t>
        </is>
      </c>
      <c r="G1" s="54" t="inlineStr">
        <is>
          <t>Total</t>
        </is>
      </c>
      <c r="H1" s="54" t="inlineStr">
        <is>
          <t>Reorder Point</t>
        </is>
      </c>
      <c r="I1" s="54" t="inlineStr">
        <is>
          <t>Status</t>
        </is>
      </c>
      <c r="J1" s="54" t="inlineStr">
        <is>
          <t>Handle</t>
        </is>
      </c>
      <c r="K1" s="54" t="inlineStr">
        <is>
          <t>Cost</t>
        </is>
      </c>
      <c r="L1" s="54" t="inlineStr">
        <is>
          <t>Stock @ Cost</t>
        </is>
      </c>
      <c r="M1" s="54" t="inlineStr">
        <is>
          <t>Stock @ Retail</t>
        </is>
      </c>
      <c r="N1" s="75" t="inlineStr">
        <is>
          <t>Last_Webhook_Update</t>
        </is>
      </c>
    </row>
    <row r="2">
      <c r="A2" s="60">
        <f>IF(Catalog!A2="","",Catalog!A2)</f>
        <v/>
      </c>
      <c r="B2" s="60">
        <f>IF($A2="","",VLOOKUP($A2,Catalog!$A$2:$N$201,3,FALSE))</f>
        <v/>
      </c>
      <c r="C2" s="60">
        <f>IF($A2="","",VLOOKUP($A2,Catalog!$A$2:$N$201,4,FALSE))</f>
        <v/>
      </c>
      <c r="D2" s="56">
        <f>IF($A2="","",SUMIFS(Transactions!$H$2:$H$1001,Transactions!$B$2:$B$1001,$A2,Transactions!$E$2:$E$1001,"Studio"))</f>
        <v/>
      </c>
      <c r="E2" s="56">
        <f>IF($A2="","",SUMIFS(Transactions!$H$2:$H$1001,Transactions!$B$2:$B$1001,$A2,Transactions!$E$2:$E$1001,"Knokke"))</f>
        <v/>
      </c>
      <c r="F2" s="56">
        <f>IF($A2="","",SUMIFS(Transactions!$H$2:$H$1001,Transactions!$B$2:$B$1001,$A2,Transactions!$E$2:$E$1001,"Warehouse"))</f>
        <v/>
      </c>
      <c r="G2" s="56">
        <f>IF($A2="","",SUM(D2:F2))</f>
        <v/>
      </c>
      <c r="H2" s="60">
        <f>IF($A2="","",VLOOKUP($A2,Catalog!$A$2:$N$201,13,FALSE))</f>
        <v/>
      </c>
      <c r="I2" s="60">
        <f>IF($A2="","",IF(G2&lt;=0,"Out of stock",IF(G2&lt;=H2,"Reorder","Healthy")))</f>
        <v/>
      </c>
      <c r="J2" s="60">
        <f>IF($A2="","",VLOOKUP($A2,Catalog!$A$2:$N$201,2,FALSE))</f>
        <v/>
      </c>
      <c r="K2" s="76">
        <f>IF($A2="","",VLOOKUP($A2,Catalog!$A$2:$N$201,11,FALSE))</f>
        <v/>
      </c>
      <c r="L2" s="76">
        <f>IF($A2="","",G2*K2)</f>
        <v/>
      </c>
      <c r="M2" s="76">
        <f>IF($A2="","",G2*VLOOKUP($A2,Catalog!$A$2:$N$201,12,FALSE))</f>
        <v/>
      </c>
    </row>
    <row r="3">
      <c r="A3" s="60">
        <f>IF(Catalog!A3="","",Catalog!A3)</f>
        <v/>
      </c>
      <c r="B3" s="60">
        <f>IF($A3="","",VLOOKUP($A3,Catalog!$A$2:$N$201,3,FALSE))</f>
        <v/>
      </c>
      <c r="C3" s="60">
        <f>IF($A3="","",VLOOKUP($A3,Catalog!$A$2:$N$201,4,FALSE))</f>
        <v/>
      </c>
      <c r="D3" s="56">
        <f>IF($A3="","",SUMIFS(Transactions!$H$2:$H$1001,Transactions!$B$2:$B$1001,$A3,Transactions!$E$2:$E$1001,"Studio"))</f>
        <v/>
      </c>
      <c r="E3" s="56">
        <f>IF($A3="","",SUMIFS(Transactions!$H$2:$H$1001,Transactions!$B$2:$B$1001,$A3,Transactions!$E$2:$E$1001,"Knokke"))</f>
        <v/>
      </c>
      <c r="F3" s="56">
        <f>IF($A3="","",SUMIFS(Transactions!$H$2:$H$1001,Transactions!$B$2:$B$1001,$A3,Transactions!$E$2:$E$1001,"Warehouse"))</f>
        <v/>
      </c>
      <c r="G3" s="56">
        <f>IF($A3="","",SUM(D3:F3))</f>
        <v/>
      </c>
      <c r="H3" s="60">
        <f>IF($A3="","",VLOOKUP($A3,Catalog!$A$2:$N$201,13,FALSE))</f>
        <v/>
      </c>
      <c r="I3" s="60">
        <f>IF($A3="","",IF(G3&lt;=0,"Out of stock",IF(G3&lt;=H3,"Reorder","Healthy")))</f>
        <v/>
      </c>
      <c r="J3" s="60">
        <f>IF($A3="","",VLOOKUP($A3,Catalog!$A$2:$N$201,2,FALSE))</f>
        <v/>
      </c>
      <c r="K3" s="76">
        <f>IF($A3="","",VLOOKUP($A3,Catalog!$A$2:$N$201,11,FALSE))</f>
        <v/>
      </c>
      <c r="L3" s="76">
        <f>IF($A3="","",G3*K3)</f>
        <v/>
      </c>
      <c r="M3" s="76">
        <f>IF($A3="","",G3*VLOOKUP($A3,Catalog!$A$2:$N$201,12,FALSE))</f>
        <v/>
      </c>
    </row>
    <row r="4">
      <c r="A4" s="60">
        <f>IF(Catalog!A4="","",Catalog!A4)</f>
        <v/>
      </c>
      <c r="B4" s="60">
        <f>IF($A4="","",VLOOKUP($A4,Catalog!$A$2:$N$201,3,FALSE))</f>
        <v/>
      </c>
      <c r="C4" s="60">
        <f>IF($A4="","",VLOOKUP($A4,Catalog!$A$2:$N$201,4,FALSE))</f>
        <v/>
      </c>
      <c r="D4" s="56">
        <f>IF($A4="","",SUMIFS(Transactions!$H$2:$H$1001,Transactions!$B$2:$B$1001,$A4,Transactions!$E$2:$E$1001,"Studio"))</f>
        <v/>
      </c>
      <c r="E4" s="56">
        <f>IF($A4="","",SUMIFS(Transactions!$H$2:$H$1001,Transactions!$B$2:$B$1001,$A4,Transactions!$E$2:$E$1001,"Knokke"))</f>
        <v/>
      </c>
      <c r="F4" s="56">
        <f>IF($A4="","",SUMIFS(Transactions!$H$2:$H$1001,Transactions!$B$2:$B$1001,$A4,Transactions!$E$2:$E$1001,"Warehouse"))</f>
        <v/>
      </c>
      <c r="G4" s="56">
        <f>IF($A4="","",SUM(D4:F4))</f>
        <v/>
      </c>
      <c r="H4" s="60">
        <f>IF($A4="","",VLOOKUP($A4,Catalog!$A$2:$N$201,13,FALSE))</f>
        <v/>
      </c>
      <c r="I4" s="60">
        <f>IF($A4="","",IF(G4&lt;=0,"Out of stock",IF(G4&lt;=H4,"Reorder","Healthy")))</f>
        <v/>
      </c>
      <c r="J4" s="60">
        <f>IF($A4="","",VLOOKUP($A4,Catalog!$A$2:$N$201,2,FALSE))</f>
        <v/>
      </c>
      <c r="K4" s="76">
        <f>IF($A4="","",VLOOKUP($A4,Catalog!$A$2:$N$201,11,FALSE))</f>
        <v/>
      </c>
      <c r="L4" s="76">
        <f>IF($A4="","",G4*K4)</f>
        <v/>
      </c>
      <c r="M4" s="76">
        <f>IF($A4="","",G4*VLOOKUP($A4,Catalog!$A$2:$N$201,12,FALSE))</f>
        <v/>
      </c>
    </row>
    <row r="5">
      <c r="A5" s="60">
        <f>IF(Catalog!A5="","",Catalog!A5)</f>
        <v/>
      </c>
      <c r="B5" s="60">
        <f>IF($A5="","",VLOOKUP($A5,Catalog!$A$2:$N$201,3,FALSE))</f>
        <v/>
      </c>
      <c r="C5" s="60">
        <f>IF($A5="","",VLOOKUP($A5,Catalog!$A$2:$N$201,4,FALSE))</f>
        <v/>
      </c>
      <c r="D5" s="56">
        <f>IF($A5="","",SUMIFS(Transactions!$H$2:$H$1001,Transactions!$B$2:$B$1001,$A5,Transactions!$E$2:$E$1001,"Studio"))</f>
        <v/>
      </c>
      <c r="E5" s="56">
        <f>IF($A5="","",SUMIFS(Transactions!$H$2:$H$1001,Transactions!$B$2:$B$1001,$A5,Transactions!$E$2:$E$1001,"Knokke"))</f>
        <v/>
      </c>
      <c r="F5" s="56">
        <f>IF($A5="","",SUMIFS(Transactions!$H$2:$H$1001,Transactions!$B$2:$B$1001,$A5,Transactions!$E$2:$E$1001,"Warehouse"))</f>
        <v/>
      </c>
      <c r="G5" s="56">
        <f>IF($A5="","",SUM(D5:F5))</f>
        <v/>
      </c>
      <c r="H5" s="60">
        <f>IF($A5="","",VLOOKUP($A5,Catalog!$A$2:$N$201,13,FALSE))</f>
        <v/>
      </c>
      <c r="I5" s="60">
        <f>IF($A5="","",IF(G5&lt;=0,"Out of stock",IF(G5&lt;=H5,"Reorder","Healthy")))</f>
        <v/>
      </c>
      <c r="J5" s="60">
        <f>IF($A5="","",VLOOKUP($A5,Catalog!$A$2:$N$201,2,FALSE))</f>
        <v/>
      </c>
      <c r="K5" s="76">
        <f>IF($A5="","",VLOOKUP($A5,Catalog!$A$2:$N$201,11,FALSE))</f>
        <v/>
      </c>
      <c r="L5" s="76">
        <f>IF($A5="","",G5*K5)</f>
        <v/>
      </c>
      <c r="M5" s="76">
        <f>IF($A5="","",G5*VLOOKUP($A5,Catalog!$A$2:$N$201,12,FALSE))</f>
        <v/>
      </c>
    </row>
    <row r="6">
      <c r="A6" s="60">
        <f>IF(Catalog!A6="","",Catalog!A6)</f>
        <v/>
      </c>
      <c r="B6" s="60">
        <f>IF($A6="","",VLOOKUP($A6,Catalog!$A$2:$N$201,3,FALSE))</f>
        <v/>
      </c>
      <c r="C6" s="60">
        <f>IF($A6="","",VLOOKUP($A6,Catalog!$A$2:$N$201,4,FALSE))</f>
        <v/>
      </c>
      <c r="D6" s="56">
        <f>IF($A6="","",SUMIFS(Transactions!$H$2:$H$1001,Transactions!$B$2:$B$1001,$A6,Transactions!$E$2:$E$1001,"Studio"))</f>
        <v/>
      </c>
      <c r="E6" s="56">
        <f>IF($A6="","",SUMIFS(Transactions!$H$2:$H$1001,Transactions!$B$2:$B$1001,$A6,Transactions!$E$2:$E$1001,"Knokke"))</f>
        <v/>
      </c>
      <c r="F6" s="56">
        <f>IF($A6="","",SUMIFS(Transactions!$H$2:$H$1001,Transactions!$B$2:$B$1001,$A6,Transactions!$E$2:$E$1001,"Warehouse"))</f>
        <v/>
      </c>
      <c r="G6" s="56">
        <f>IF($A6="","",SUM(D6:F6))</f>
        <v/>
      </c>
      <c r="H6" s="60">
        <f>IF($A6="","",VLOOKUP($A6,Catalog!$A$2:$N$201,13,FALSE))</f>
        <v/>
      </c>
      <c r="I6" s="60">
        <f>IF($A6="","",IF(G6&lt;=0,"Out of stock",IF(G6&lt;=H6,"Reorder","Healthy")))</f>
        <v/>
      </c>
      <c r="J6" s="60">
        <f>IF($A6="","",VLOOKUP($A6,Catalog!$A$2:$N$201,2,FALSE))</f>
        <v/>
      </c>
      <c r="K6" s="76">
        <f>IF($A6="","",VLOOKUP($A6,Catalog!$A$2:$N$201,11,FALSE))</f>
        <v/>
      </c>
      <c r="L6" s="76">
        <f>IF($A6="","",G6*K6)</f>
        <v/>
      </c>
      <c r="M6" s="76">
        <f>IF($A6="","",G6*VLOOKUP($A6,Catalog!$A$2:$N$201,12,FALSE))</f>
        <v/>
      </c>
    </row>
    <row r="7">
      <c r="A7" s="60">
        <f>IF(Catalog!A7="","",Catalog!A7)</f>
        <v/>
      </c>
      <c r="B7" s="60">
        <f>IF($A7="","",VLOOKUP($A7,Catalog!$A$2:$N$201,3,FALSE))</f>
        <v/>
      </c>
      <c r="C7" s="60">
        <f>IF($A7="","",VLOOKUP($A7,Catalog!$A$2:$N$201,4,FALSE))</f>
        <v/>
      </c>
      <c r="D7" s="56">
        <f>IF($A7="","",SUMIFS(Transactions!$H$2:$H$1001,Transactions!$B$2:$B$1001,$A7,Transactions!$E$2:$E$1001,"Studio"))</f>
        <v/>
      </c>
      <c r="E7" s="56">
        <f>IF($A7="","",SUMIFS(Transactions!$H$2:$H$1001,Transactions!$B$2:$B$1001,$A7,Transactions!$E$2:$E$1001,"Knokke"))</f>
        <v/>
      </c>
      <c r="F7" s="56">
        <f>IF($A7="","",SUMIFS(Transactions!$H$2:$H$1001,Transactions!$B$2:$B$1001,$A7,Transactions!$E$2:$E$1001,"Warehouse"))</f>
        <v/>
      </c>
      <c r="G7" s="56">
        <f>IF($A7="","",SUM(D7:F7))</f>
        <v/>
      </c>
      <c r="H7" s="60">
        <f>IF($A7="","",VLOOKUP($A7,Catalog!$A$2:$N$201,13,FALSE))</f>
        <v/>
      </c>
      <c r="I7" s="60">
        <f>IF($A7="","",IF(G7&lt;=0,"Out of stock",IF(G7&lt;=H7,"Reorder","Healthy")))</f>
        <v/>
      </c>
      <c r="J7" s="60">
        <f>IF($A7="","",VLOOKUP($A7,Catalog!$A$2:$N$201,2,FALSE))</f>
        <v/>
      </c>
      <c r="K7" s="76">
        <f>IF($A7="","",VLOOKUP($A7,Catalog!$A$2:$N$201,11,FALSE))</f>
        <v/>
      </c>
      <c r="L7" s="76">
        <f>IF($A7="","",G7*K7)</f>
        <v/>
      </c>
      <c r="M7" s="76">
        <f>IF($A7="","",G7*VLOOKUP($A7,Catalog!$A$2:$N$201,12,FALSE))</f>
        <v/>
      </c>
    </row>
    <row r="8">
      <c r="A8" s="60">
        <f>IF(Catalog!A8="","",Catalog!A8)</f>
        <v/>
      </c>
      <c r="B8" s="60">
        <f>IF($A8="","",VLOOKUP($A8,Catalog!$A$2:$N$201,3,FALSE))</f>
        <v/>
      </c>
      <c r="C8" s="60">
        <f>IF($A8="","",VLOOKUP($A8,Catalog!$A$2:$N$201,4,FALSE))</f>
        <v/>
      </c>
      <c r="D8" s="56">
        <f>IF($A8="","",SUMIFS(Transactions!$H$2:$H$1001,Transactions!$B$2:$B$1001,$A8,Transactions!$E$2:$E$1001,"Studio"))</f>
        <v/>
      </c>
      <c r="E8" s="56">
        <f>IF($A8="","",SUMIFS(Transactions!$H$2:$H$1001,Transactions!$B$2:$B$1001,$A8,Transactions!$E$2:$E$1001,"Knokke"))</f>
        <v/>
      </c>
      <c r="F8" s="56">
        <f>IF($A8="","",SUMIFS(Transactions!$H$2:$H$1001,Transactions!$B$2:$B$1001,$A8,Transactions!$E$2:$E$1001,"Warehouse"))</f>
        <v/>
      </c>
      <c r="G8" s="56">
        <f>IF($A8="","",SUM(D8:F8))</f>
        <v/>
      </c>
      <c r="H8" s="60">
        <f>IF($A8="","",VLOOKUP($A8,Catalog!$A$2:$N$201,13,FALSE))</f>
        <v/>
      </c>
      <c r="I8" s="60">
        <f>IF($A8="","",IF(G8&lt;=0,"Out of stock",IF(G8&lt;=H8,"Reorder","Healthy")))</f>
        <v/>
      </c>
      <c r="J8" s="60">
        <f>IF($A8="","",VLOOKUP($A8,Catalog!$A$2:$N$201,2,FALSE))</f>
        <v/>
      </c>
      <c r="K8" s="76">
        <f>IF($A8="","",VLOOKUP($A8,Catalog!$A$2:$N$201,11,FALSE))</f>
        <v/>
      </c>
      <c r="L8" s="76">
        <f>IF($A8="","",G8*K8)</f>
        <v/>
      </c>
      <c r="M8" s="76">
        <f>IF($A8="","",G8*VLOOKUP($A8,Catalog!$A$2:$N$201,12,FALSE))</f>
        <v/>
      </c>
    </row>
    <row r="9">
      <c r="A9" s="60">
        <f>IF(Catalog!A9="","",Catalog!A9)</f>
        <v/>
      </c>
      <c r="B9" s="60">
        <f>IF($A9="","",VLOOKUP($A9,Catalog!$A$2:$N$201,3,FALSE))</f>
        <v/>
      </c>
      <c r="C9" s="60">
        <f>IF($A9="","",VLOOKUP($A9,Catalog!$A$2:$N$201,4,FALSE))</f>
        <v/>
      </c>
      <c r="D9" s="56">
        <f>IF($A9="","",SUMIFS(Transactions!$H$2:$H$1001,Transactions!$B$2:$B$1001,$A9,Transactions!$E$2:$E$1001,"Studio"))</f>
        <v/>
      </c>
      <c r="E9" s="56">
        <f>IF($A9="","",SUMIFS(Transactions!$H$2:$H$1001,Transactions!$B$2:$B$1001,$A9,Transactions!$E$2:$E$1001,"Knokke"))</f>
        <v/>
      </c>
      <c r="F9" s="56">
        <f>IF($A9="","",SUMIFS(Transactions!$H$2:$H$1001,Transactions!$B$2:$B$1001,$A9,Transactions!$E$2:$E$1001,"Warehouse"))</f>
        <v/>
      </c>
      <c r="G9" s="56">
        <f>IF($A9="","",SUM(D9:F9))</f>
        <v/>
      </c>
      <c r="H9" s="60">
        <f>IF($A9="","",VLOOKUP($A9,Catalog!$A$2:$N$201,13,FALSE))</f>
        <v/>
      </c>
      <c r="I9" s="60">
        <f>IF($A9="","",IF(G9&lt;=0,"Out of stock",IF(G9&lt;=H9,"Reorder","Healthy")))</f>
        <v/>
      </c>
      <c r="J9" s="60">
        <f>IF($A9="","",VLOOKUP($A9,Catalog!$A$2:$N$201,2,FALSE))</f>
        <v/>
      </c>
      <c r="K9" s="76">
        <f>IF($A9="","",VLOOKUP($A9,Catalog!$A$2:$N$201,11,FALSE))</f>
        <v/>
      </c>
      <c r="L9" s="76">
        <f>IF($A9="","",G9*K9)</f>
        <v/>
      </c>
      <c r="M9" s="76">
        <f>IF($A9="","",G9*VLOOKUP($A9,Catalog!$A$2:$N$201,12,FALSE))</f>
        <v/>
      </c>
    </row>
    <row r="10">
      <c r="A10" s="60">
        <f>IF(Catalog!A10="","",Catalog!A10)</f>
        <v/>
      </c>
      <c r="B10" s="60">
        <f>IF($A10="","",VLOOKUP($A10,Catalog!$A$2:$N$201,3,FALSE))</f>
        <v/>
      </c>
      <c r="C10" s="60">
        <f>IF($A10="","",VLOOKUP($A10,Catalog!$A$2:$N$201,4,FALSE))</f>
        <v/>
      </c>
      <c r="D10" s="56">
        <f>IF($A10="","",SUMIFS(Transactions!$H$2:$H$1001,Transactions!$B$2:$B$1001,$A10,Transactions!$E$2:$E$1001,"Studio"))</f>
        <v/>
      </c>
      <c r="E10" s="56">
        <f>IF($A10="","",SUMIFS(Transactions!$H$2:$H$1001,Transactions!$B$2:$B$1001,$A10,Transactions!$E$2:$E$1001,"Knokke"))</f>
        <v/>
      </c>
      <c r="F10" s="56">
        <f>IF($A10="","",SUMIFS(Transactions!$H$2:$H$1001,Transactions!$B$2:$B$1001,$A10,Transactions!$E$2:$E$1001,"Warehouse"))</f>
        <v/>
      </c>
      <c r="G10" s="56">
        <f>IF($A10="","",SUM(D10:F10))</f>
        <v/>
      </c>
      <c r="H10" s="60">
        <f>IF($A10="","",VLOOKUP($A10,Catalog!$A$2:$N$201,13,FALSE))</f>
        <v/>
      </c>
      <c r="I10" s="60">
        <f>IF($A10="","",IF(G10&lt;=0,"Out of stock",IF(G10&lt;=H10,"Reorder","Healthy")))</f>
        <v/>
      </c>
      <c r="J10" s="60">
        <f>IF($A10="","",VLOOKUP($A10,Catalog!$A$2:$N$201,2,FALSE))</f>
        <v/>
      </c>
      <c r="K10" s="76">
        <f>IF($A10="","",VLOOKUP($A10,Catalog!$A$2:$N$201,11,FALSE))</f>
        <v/>
      </c>
      <c r="L10" s="76">
        <f>IF($A10="","",G10*K10)</f>
        <v/>
      </c>
      <c r="M10" s="76">
        <f>IF($A10="","",G10*VLOOKUP($A10,Catalog!$A$2:$N$201,12,FALSE))</f>
        <v/>
      </c>
    </row>
    <row r="11">
      <c r="A11" s="60">
        <f>IF(Catalog!A11="","",Catalog!A11)</f>
        <v/>
      </c>
      <c r="B11" s="60">
        <f>IF($A11="","",VLOOKUP($A11,Catalog!$A$2:$N$201,3,FALSE))</f>
        <v/>
      </c>
      <c r="C11" s="60">
        <f>IF($A11="","",VLOOKUP($A11,Catalog!$A$2:$N$201,4,FALSE))</f>
        <v/>
      </c>
      <c r="D11" s="56">
        <f>IF($A11="","",SUMIFS(Transactions!$H$2:$H$1001,Transactions!$B$2:$B$1001,$A11,Transactions!$E$2:$E$1001,"Studio"))</f>
        <v/>
      </c>
      <c r="E11" s="56">
        <f>IF($A11="","",SUMIFS(Transactions!$H$2:$H$1001,Transactions!$B$2:$B$1001,$A11,Transactions!$E$2:$E$1001,"Knokke"))</f>
        <v/>
      </c>
      <c r="F11" s="56">
        <f>IF($A11="","",SUMIFS(Transactions!$H$2:$H$1001,Transactions!$B$2:$B$1001,$A11,Transactions!$E$2:$E$1001,"Warehouse"))</f>
        <v/>
      </c>
      <c r="G11" s="56">
        <f>IF($A11="","",SUM(D11:F11))</f>
        <v/>
      </c>
      <c r="H11" s="60">
        <f>IF($A11="","",VLOOKUP($A11,Catalog!$A$2:$N$201,13,FALSE))</f>
        <v/>
      </c>
      <c r="I11" s="60">
        <f>IF($A11="","",IF(G11&lt;=0,"Out of stock",IF(G11&lt;=H11,"Reorder","Healthy")))</f>
        <v/>
      </c>
      <c r="J11" s="60">
        <f>IF($A11="","",VLOOKUP($A11,Catalog!$A$2:$N$201,2,FALSE))</f>
        <v/>
      </c>
      <c r="K11" s="76">
        <f>IF($A11="","",VLOOKUP($A11,Catalog!$A$2:$N$201,11,FALSE))</f>
        <v/>
      </c>
      <c r="L11" s="76">
        <f>IF($A11="","",G11*K11)</f>
        <v/>
      </c>
      <c r="M11" s="76">
        <f>IF($A11="","",G11*VLOOKUP($A11,Catalog!$A$2:$N$201,12,FALSE))</f>
        <v/>
      </c>
    </row>
    <row r="12">
      <c r="A12" s="60">
        <f>IF(Catalog!A12="","",Catalog!A12)</f>
        <v/>
      </c>
      <c r="B12" s="60">
        <f>IF($A12="","",VLOOKUP($A12,Catalog!$A$2:$N$201,3,FALSE))</f>
        <v/>
      </c>
      <c r="C12" s="60">
        <f>IF($A12="","",VLOOKUP($A12,Catalog!$A$2:$N$201,4,FALSE))</f>
        <v/>
      </c>
      <c r="D12" s="56">
        <f>IF($A12="","",SUMIFS(Transactions!$H$2:$H$1001,Transactions!$B$2:$B$1001,$A12,Transactions!$E$2:$E$1001,"Studio"))</f>
        <v/>
      </c>
      <c r="E12" s="56">
        <f>IF($A12="","",SUMIFS(Transactions!$H$2:$H$1001,Transactions!$B$2:$B$1001,$A12,Transactions!$E$2:$E$1001,"Knokke"))</f>
        <v/>
      </c>
      <c r="F12" s="56">
        <f>IF($A12="","",SUMIFS(Transactions!$H$2:$H$1001,Transactions!$B$2:$B$1001,$A12,Transactions!$E$2:$E$1001,"Warehouse"))</f>
        <v/>
      </c>
      <c r="G12" s="56">
        <f>IF($A12="","",SUM(D12:F12))</f>
        <v/>
      </c>
      <c r="H12" s="60">
        <f>IF($A12="","",VLOOKUP($A12,Catalog!$A$2:$N$201,13,FALSE))</f>
        <v/>
      </c>
      <c r="I12" s="60">
        <f>IF($A12="","",IF(G12&lt;=0,"Out of stock",IF(G12&lt;=H12,"Reorder","Healthy")))</f>
        <v/>
      </c>
      <c r="J12" s="60">
        <f>IF($A12="","",VLOOKUP($A12,Catalog!$A$2:$N$201,2,FALSE))</f>
        <v/>
      </c>
      <c r="K12" s="76">
        <f>IF($A12="","",VLOOKUP($A12,Catalog!$A$2:$N$201,11,FALSE))</f>
        <v/>
      </c>
      <c r="L12" s="76">
        <f>IF($A12="","",G12*K12)</f>
        <v/>
      </c>
      <c r="M12" s="76">
        <f>IF($A12="","",G12*VLOOKUP($A12,Catalog!$A$2:$N$201,12,FALSE))</f>
        <v/>
      </c>
    </row>
    <row r="13">
      <c r="A13" s="60">
        <f>IF(Catalog!A13="","",Catalog!A13)</f>
        <v/>
      </c>
      <c r="B13" s="60">
        <f>IF($A13="","",VLOOKUP($A13,Catalog!$A$2:$N$201,3,FALSE))</f>
        <v/>
      </c>
      <c r="C13" s="60">
        <f>IF($A13="","",VLOOKUP($A13,Catalog!$A$2:$N$201,4,FALSE))</f>
        <v/>
      </c>
      <c r="D13" s="56">
        <f>IF($A13="","",SUMIFS(Transactions!$H$2:$H$1001,Transactions!$B$2:$B$1001,$A13,Transactions!$E$2:$E$1001,"Studio"))</f>
        <v/>
      </c>
      <c r="E13" s="56">
        <f>IF($A13="","",SUMIFS(Transactions!$H$2:$H$1001,Transactions!$B$2:$B$1001,$A13,Transactions!$E$2:$E$1001,"Knokke"))</f>
        <v/>
      </c>
      <c r="F13" s="56">
        <f>IF($A13="","",SUMIFS(Transactions!$H$2:$H$1001,Transactions!$B$2:$B$1001,$A13,Transactions!$E$2:$E$1001,"Warehouse"))</f>
        <v/>
      </c>
      <c r="G13" s="56">
        <f>IF($A13="","",SUM(D13:F13))</f>
        <v/>
      </c>
      <c r="H13" s="60">
        <f>IF($A13="","",VLOOKUP($A13,Catalog!$A$2:$N$201,13,FALSE))</f>
        <v/>
      </c>
      <c r="I13" s="60">
        <f>IF($A13="","",IF(G13&lt;=0,"Out of stock",IF(G13&lt;=H13,"Reorder","Healthy")))</f>
        <v/>
      </c>
      <c r="J13" s="60">
        <f>IF($A13="","",VLOOKUP($A13,Catalog!$A$2:$N$201,2,FALSE))</f>
        <v/>
      </c>
      <c r="K13" s="76">
        <f>IF($A13="","",VLOOKUP($A13,Catalog!$A$2:$N$201,11,FALSE))</f>
        <v/>
      </c>
      <c r="L13" s="76">
        <f>IF($A13="","",G13*K13)</f>
        <v/>
      </c>
      <c r="M13" s="76">
        <f>IF($A13="","",G13*VLOOKUP($A13,Catalog!$A$2:$N$201,12,FALSE))</f>
        <v/>
      </c>
    </row>
    <row r="14">
      <c r="A14" s="60">
        <f>IF(Catalog!A14="","",Catalog!A14)</f>
        <v/>
      </c>
      <c r="B14" s="60">
        <f>IF($A14="","",VLOOKUP($A14,Catalog!$A$2:$N$201,3,FALSE))</f>
        <v/>
      </c>
      <c r="C14" s="60">
        <f>IF($A14="","",VLOOKUP($A14,Catalog!$A$2:$N$201,4,FALSE))</f>
        <v/>
      </c>
      <c r="D14" s="56">
        <f>IF($A14="","",SUMIFS(Transactions!$H$2:$H$1001,Transactions!$B$2:$B$1001,$A14,Transactions!$E$2:$E$1001,"Studio"))</f>
        <v/>
      </c>
      <c r="E14" s="56">
        <f>IF($A14="","",SUMIFS(Transactions!$H$2:$H$1001,Transactions!$B$2:$B$1001,$A14,Transactions!$E$2:$E$1001,"Knokke"))</f>
        <v/>
      </c>
      <c r="F14" s="56">
        <f>IF($A14="","",SUMIFS(Transactions!$H$2:$H$1001,Transactions!$B$2:$B$1001,$A14,Transactions!$E$2:$E$1001,"Warehouse"))</f>
        <v/>
      </c>
      <c r="G14" s="56">
        <f>IF($A14="","",SUM(D14:F14))</f>
        <v/>
      </c>
      <c r="H14" s="60">
        <f>IF($A14="","",VLOOKUP($A14,Catalog!$A$2:$N$201,13,FALSE))</f>
        <v/>
      </c>
      <c r="I14" s="60">
        <f>IF($A14="","",IF(G14&lt;=0,"Out of stock",IF(G14&lt;=H14,"Reorder","Healthy")))</f>
        <v/>
      </c>
      <c r="J14" s="60">
        <f>IF($A14="","",VLOOKUP($A14,Catalog!$A$2:$N$201,2,FALSE))</f>
        <v/>
      </c>
      <c r="K14" s="76">
        <f>IF($A14="","",VLOOKUP($A14,Catalog!$A$2:$N$201,11,FALSE))</f>
        <v/>
      </c>
      <c r="L14" s="76">
        <f>IF($A14="","",G14*K14)</f>
        <v/>
      </c>
      <c r="M14" s="76">
        <f>IF($A14="","",G14*VLOOKUP($A14,Catalog!$A$2:$N$201,12,FALSE))</f>
        <v/>
      </c>
    </row>
    <row r="15">
      <c r="A15" s="60">
        <f>IF(Catalog!A15="","",Catalog!A15)</f>
        <v/>
      </c>
      <c r="B15" s="60">
        <f>IF($A15="","",VLOOKUP($A15,Catalog!$A$2:$N$201,3,FALSE))</f>
        <v/>
      </c>
      <c r="C15" s="60">
        <f>IF($A15="","",VLOOKUP($A15,Catalog!$A$2:$N$201,4,FALSE))</f>
        <v/>
      </c>
      <c r="D15" s="56">
        <f>IF($A15="","",SUMIFS(Transactions!$H$2:$H$1001,Transactions!$B$2:$B$1001,$A15,Transactions!$E$2:$E$1001,"Studio"))</f>
        <v/>
      </c>
      <c r="E15" s="56">
        <f>IF($A15="","",SUMIFS(Transactions!$H$2:$H$1001,Transactions!$B$2:$B$1001,$A15,Transactions!$E$2:$E$1001,"Knokke"))</f>
        <v/>
      </c>
      <c r="F15" s="56">
        <f>IF($A15="","",SUMIFS(Transactions!$H$2:$H$1001,Transactions!$B$2:$B$1001,$A15,Transactions!$E$2:$E$1001,"Warehouse"))</f>
        <v/>
      </c>
      <c r="G15" s="56">
        <f>IF($A15="","",SUM(D15:F15))</f>
        <v/>
      </c>
      <c r="H15" s="60">
        <f>IF($A15="","",VLOOKUP($A15,Catalog!$A$2:$N$201,13,FALSE))</f>
        <v/>
      </c>
      <c r="I15" s="60">
        <f>IF($A15="","",IF(G15&lt;=0,"Out of stock",IF(G15&lt;=H15,"Reorder","Healthy")))</f>
        <v/>
      </c>
      <c r="J15" s="60">
        <f>IF($A15="","",VLOOKUP($A15,Catalog!$A$2:$N$201,2,FALSE))</f>
        <v/>
      </c>
      <c r="K15" s="76">
        <f>IF($A15="","",VLOOKUP($A15,Catalog!$A$2:$N$201,11,FALSE))</f>
        <v/>
      </c>
      <c r="L15" s="76">
        <f>IF($A15="","",G15*K15)</f>
        <v/>
      </c>
      <c r="M15" s="76">
        <f>IF($A15="","",G15*VLOOKUP($A15,Catalog!$A$2:$N$201,12,FALSE))</f>
        <v/>
      </c>
    </row>
    <row r="16">
      <c r="A16" s="60">
        <f>IF(Catalog!A16="","",Catalog!A16)</f>
        <v/>
      </c>
      <c r="B16" s="60">
        <f>IF($A16="","",VLOOKUP($A16,Catalog!$A$2:$N$201,3,FALSE))</f>
        <v/>
      </c>
      <c r="C16" s="60">
        <f>IF($A16="","",VLOOKUP($A16,Catalog!$A$2:$N$201,4,FALSE))</f>
        <v/>
      </c>
      <c r="D16" s="56">
        <f>IF($A16="","",SUMIFS(Transactions!$H$2:$H$1001,Transactions!$B$2:$B$1001,$A16,Transactions!$E$2:$E$1001,"Studio"))</f>
        <v/>
      </c>
      <c r="E16" s="56">
        <f>IF($A16="","",SUMIFS(Transactions!$H$2:$H$1001,Transactions!$B$2:$B$1001,$A16,Transactions!$E$2:$E$1001,"Knokke"))</f>
        <v/>
      </c>
      <c r="F16" s="56">
        <f>IF($A16="","",SUMIFS(Transactions!$H$2:$H$1001,Transactions!$B$2:$B$1001,$A16,Transactions!$E$2:$E$1001,"Warehouse"))</f>
        <v/>
      </c>
      <c r="G16" s="56">
        <f>IF($A16="","",SUM(D16:F16))</f>
        <v/>
      </c>
      <c r="H16" s="60">
        <f>IF($A16="","",VLOOKUP($A16,Catalog!$A$2:$N$201,13,FALSE))</f>
        <v/>
      </c>
      <c r="I16" s="60">
        <f>IF($A16="","",IF(G16&lt;=0,"Out of stock",IF(G16&lt;=H16,"Reorder","Healthy")))</f>
        <v/>
      </c>
      <c r="J16" s="60">
        <f>IF($A16="","",VLOOKUP($A16,Catalog!$A$2:$N$201,2,FALSE))</f>
        <v/>
      </c>
      <c r="K16" s="76">
        <f>IF($A16="","",VLOOKUP($A16,Catalog!$A$2:$N$201,11,FALSE))</f>
        <v/>
      </c>
      <c r="L16" s="76">
        <f>IF($A16="","",G16*K16)</f>
        <v/>
      </c>
      <c r="M16" s="76">
        <f>IF($A16="","",G16*VLOOKUP($A16,Catalog!$A$2:$N$201,12,FALSE))</f>
        <v/>
      </c>
    </row>
    <row r="17">
      <c r="A17" s="60">
        <f>IF(Catalog!A17="","",Catalog!A17)</f>
        <v/>
      </c>
      <c r="B17" s="60">
        <f>IF($A17="","",VLOOKUP($A17,Catalog!$A$2:$N$201,3,FALSE))</f>
        <v/>
      </c>
      <c r="C17" s="60">
        <f>IF($A17="","",VLOOKUP($A17,Catalog!$A$2:$N$201,4,FALSE))</f>
        <v/>
      </c>
      <c r="D17" s="56">
        <f>IF($A17="","",SUMIFS(Transactions!$H$2:$H$1001,Transactions!$B$2:$B$1001,$A17,Transactions!$E$2:$E$1001,"Studio"))</f>
        <v/>
      </c>
      <c r="E17" s="56">
        <f>IF($A17="","",SUMIFS(Transactions!$H$2:$H$1001,Transactions!$B$2:$B$1001,$A17,Transactions!$E$2:$E$1001,"Knokke"))</f>
        <v/>
      </c>
      <c r="F17" s="56">
        <f>IF($A17="","",SUMIFS(Transactions!$H$2:$H$1001,Transactions!$B$2:$B$1001,$A17,Transactions!$E$2:$E$1001,"Warehouse"))</f>
        <v/>
      </c>
      <c r="G17" s="56">
        <f>IF($A17="","",SUM(D17:F17))</f>
        <v/>
      </c>
      <c r="H17" s="60">
        <f>IF($A17="","",VLOOKUP($A17,Catalog!$A$2:$N$201,13,FALSE))</f>
        <v/>
      </c>
      <c r="I17" s="60">
        <f>IF($A17="","",IF(G17&lt;=0,"Out of stock",IF(G17&lt;=H17,"Reorder","Healthy")))</f>
        <v/>
      </c>
      <c r="J17" s="60">
        <f>IF($A17="","",VLOOKUP($A17,Catalog!$A$2:$N$201,2,FALSE))</f>
        <v/>
      </c>
      <c r="K17" s="76">
        <f>IF($A17="","",VLOOKUP($A17,Catalog!$A$2:$N$201,11,FALSE))</f>
        <v/>
      </c>
      <c r="L17" s="76">
        <f>IF($A17="","",G17*K17)</f>
        <v/>
      </c>
      <c r="M17" s="76">
        <f>IF($A17="","",G17*VLOOKUP($A17,Catalog!$A$2:$N$201,12,FALSE))</f>
        <v/>
      </c>
    </row>
    <row r="18">
      <c r="A18" s="60">
        <f>IF(Catalog!A18="","",Catalog!A18)</f>
        <v/>
      </c>
      <c r="B18" s="60">
        <f>IF($A18="","",VLOOKUP($A18,Catalog!$A$2:$N$201,3,FALSE))</f>
        <v/>
      </c>
      <c r="C18" s="60">
        <f>IF($A18="","",VLOOKUP($A18,Catalog!$A$2:$N$201,4,FALSE))</f>
        <v/>
      </c>
      <c r="D18" s="56">
        <f>IF($A18="","",SUMIFS(Transactions!$H$2:$H$1001,Transactions!$B$2:$B$1001,$A18,Transactions!$E$2:$E$1001,"Studio"))</f>
        <v/>
      </c>
      <c r="E18" s="56">
        <f>IF($A18="","",SUMIFS(Transactions!$H$2:$H$1001,Transactions!$B$2:$B$1001,$A18,Transactions!$E$2:$E$1001,"Knokke"))</f>
        <v/>
      </c>
      <c r="F18" s="56">
        <f>IF($A18="","",SUMIFS(Transactions!$H$2:$H$1001,Transactions!$B$2:$B$1001,$A18,Transactions!$E$2:$E$1001,"Warehouse"))</f>
        <v/>
      </c>
      <c r="G18" s="56">
        <f>IF($A18="","",SUM(D18:F18))</f>
        <v/>
      </c>
      <c r="H18" s="60">
        <f>IF($A18="","",VLOOKUP($A18,Catalog!$A$2:$N$201,13,FALSE))</f>
        <v/>
      </c>
      <c r="I18" s="60">
        <f>IF($A18="","",IF(G18&lt;=0,"Out of stock",IF(G18&lt;=H18,"Reorder","Healthy")))</f>
        <v/>
      </c>
      <c r="J18" s="60">
        <f>IF($A18="","",VLOOKUP($A18,Catalog!$A$2:$N$201,2,FALSE))</f>
        <v/>
      </c>
      <c r="K18" s="76">
        <f>IF($A18="","",VLOOKUP($A18,Catalog!$A$2:$N$201,11,FALSE))</f>
        <v/>
      </c>
      <c r="L18" s="76">
        <f>IF($A18="","",G18*K18)</f>
        <v/>
      </c>
      <c r="M18" s="76">
        <f>IF($A18="","",G18*VLOOKUP($A18,Catalog!$A$2:$N$201,12,FALSE))</f>
        <v/>
      </c>
    </row>
    <row r="19">
      <c r="A19" s="60">
        <f>IF(Catalog!A19="","",Catalog!A19)</f>
        <v/>
      </c>
      <c r="B19" s="60">
        <f>IF($A19="","",VLOOKUP($A19,Catalog!$A$2:$N$201,3,FALSE))</f>
        <v/>
      </c>
      <c r="C19" s="60">
        <f>IF($A19="","",VLOOKUP($A19,Catalog!$A$2:$N$201,4,FALSE))</f>
        <v/>
      </c>
      <c r="D19" s="56">
        <f>IF($A19="","",SUMIFS(Transactions!$H$2:$H$1001,Transactions!$B$2:$B$1001,$A19,Transactions!$E$2:$E$1001,"Studio"))</f>
        <v/>
      </c>
      <c r="E19" s="56">
        <f>IF($A19="","",SUMIFS(Transactions!$H$2:$H$1001,Transactions!$B$2:$B$1001,$A19,Transactions!$E$2:$E$1001,"Knokke"))</f>
        <v/>
      </c>
      <c r="F19" s="56">
        <f>IF($A19="","",SUMIFS(Transactions!$H$2:$H$1001,Transactions!$B$2:$B$1001,$A19,Transactions!$E$2:$E$1001,"Warehouse"))</f>
        <v/>
      </c>
      <c r="G19" s="56">
        <f>IF($A19="","",SUM(D19:F19))</f>
        <v/>
      </c>
      <c r="H19" s="60">
        <f>IF($A19="","",VLOOKUP($A19,Catalog!$A$2:$N$201,13,FALSE))</f>
        <v/>
      </c>
      <c r="I19" s="60">
        <f>IF($A19="","",IF(G19&lt;=0,"Out of stock",IF(G19&lt;=H19,"Reorder","Healthy")))</f>
        <v/>
      </c>
      <c r="J19" s="60">
        <f>IF($A19="","",VLOOKUP($A19,Catalog!$A$2:$N$201,2,FALSE))</f>
        <v/>
      </c>
      <c r="K19" s="76">
        <f>IF($A19="","",VLOOKUP($A19,Catalog!$A$2:$N$201,11,FALSE))</f>
        <v/>
      </c>
      <c r="L19" s="76">
        <f>IF($A19="","",G19*K19)</f>
        <v/>
      </c>
      <c r="M19" s="76">
        <f>IF($A19="","",G19*VLOOKUP($A19,Catalog!$A$2:$N$201,12,FALSE))</f>
        <v/>
      </c>
    </row>
    <row r="20">
      <c r="A20" s="60">
        <f>IF(Catalog!A20="","",Catalog!A20)</f>
        <v/>
      </c>
      <c r="B20" s="60">
        <f>IF($A20="","",VLOOKUP($A20,Catalog!$A$2:$N$201,3,FALSE))</f>
        <v/>
      </c>
      <c r="C20" s="60">
        <f>IF($A20="","",VLOOKUP($A20,Catalog!$A$2:$N$201,4,FALSE))</f>
        <v/>
      </c>
      <c r="D20" s="56">
        <f>IF($A20="","",SUMIFS(Transactions!$H$2:$H$1001,Transactions!$B$2:$B$1001,$A20,Transactions!$E$2:$E$1001,"Studio"))</f>
        <v/>
      </c>
      <c r="E20" s="56">
        <f>IF($A20="","",SUMIFS(Transactions!$H$2:$H$1001,Transactions!$B$2:$B$1001,$A20,Transactions!$E$2:$E$1001,"Knokke"))</f>
        <v/>
      </c>
      <c r="F20" s="56">
        <f>IF($A20="","",SUMIFS(Transactions!$H$2:$H$1001,Transactions!$B$2:$B$1001,$A20,Transactions!$E$2:$E$1001,"Warehouse"))</f>
        <v/>
      </c>
      <c r="G20" s="56">
        <f>IF($A20="","",SUM(D20:F20))</f>
        <v/>
      </c>
      <c r="H20" s="60">
        <f>IF($A20="","",VLOOKUP($A20,Catalog!$A$2:$N$201,13,FALSE))</f>
        <v/>
      </c>
      <c r="I20" s="60">
        <f>IF($A20="","",IF(G20&lt;=0,"Out of stock",IF(G20&lt;=H20,"Reorder","Healthy")))</f>
        <v/>
      </c>
      <c r="J20" s="60">
        <f>IF($A20="","",VLOOKUP($A20,Catalog!$A$2:$N$201,2,FALSE))</f>
        <v/>
      </c>
      <c r="K20" s="76">
        <f>IF($A20="","",VLOOKUP($A20,Catalog!$A$2:$N$201,11,FALSE))</f>
        <v/>
      </c>
      <c r="L20" s="76">
        <f>IF($A20="","",G20*K20)</f>
        <v/>
      </c>
      <c r="M20" s="76">
        <f>IF($A20="","",G20*VLOOKUP($A20,Catalog!$A$2:$N$201,12,FALSE))</f>
        <v/>
      </c>
    </row>
    <row r="21">
      <c r="A21" s="60">
        <f>IF(Catalog!A21="","",Catalog!A21)</f>
        <v/>
      </c>
      <c r="B21" s="60">
        <f>IF($A21="","",VLOOKUP($A21,Catalog!$A$2:$N$201,3,FALSE))</f>
        <v/>
      </c>
      <c r="C21" s="60">
        <f>IF($A21="","",VLOOKUP($A21,Catalog!$A$2:$N$201,4,FALSE))</f>
        <v/>
      </c>
      <c r="D21" s="56">
        <f>IF($A21="","",SUMIFS(Transactions!$H$2:$H$1001,Transactions!$B$2:$B$1001,$A21,Transactions!$E$2:$E$1001,"Studio"))</f>
        <v/>
      </c>
      <c r="E21" s="56">
        <f>IF($A21="","",SUMIFS(Transactions!$H$2:$H$1001,Transactions!$B$2:$B$1001,$A21,Transactions!$E$2:$E$1001,"Knokke"))</f>
        <v/>
      </c>
      <c r="F21" s="56">
        <f>IF($A21="","",SUMIFS(Transactions!$H$2:$H$1001,Transactions!$B$2:$B$1001,$A21,Transactions!$E$2:$E$1001,"Warehouse"))</f>
        <v/>
      </c>
      <c r="G21" s="56">
        <f>IF($A21="","",SUM(D21:F21))</f>
        <v/>
      </c>
      <c r="H21" s="60">
        <f>IF($A21="","",VLOOKUP($A21,Catalog!$A$2:$N$201,13,FALSE))</f>
        <v/>
      </c>
      <c r="I21" s="60">
        <f>IF($A21="","",IF(G21&lt;=0,"Out of stock",IF(G21&lt;=H21,"Reorder","Healthy")))</f>
        <v/>
      </c>
      <c r="J21" s="60">
        <f>IF($A21="","",VLOOKUP($A21,Catalog!$A$2:$N$201,2,FALSE))</f>
        <v/>
      </c>
      <c r="K21" s="76">
        <f>IF($A21="","",VLOOKUP($A21,Catalog!$A$2:$N$201,11,FALSE))</f>
        <v/>
      </c>
      <c r="L21" s="76">
        <f>IF($A21="","",G21*K21)</f>
        <v/>
      </c>
      <c r="M21" s="76">
        <f>IF($A21="","",G21*VLOOKUP($A21,Catalog!$A$2:$N$201,12,FALSE))</f>
        <v/>
      </c>
    </row>
    <row r="22">
      <c r="A22" s="60">
        <f>IF(Catalog!A22="","",Catalog!A22)</f>
        <v/>
      </c>
      <c r="B22" s="60">
        <f>IF($A22="","",VLOOKUP($A22,Catalog!$A$2:$N$201,3,FALSE))</f>
        <v/>
      </c>
      <c r="C22" s="60">
        <f>IF($A22="","",VLOOKUP($A22,Catalog!$A$2:$N$201,4,FALSE))</f>
        <v/>
      </c>
      <c r="D22" s="56">
        <f>IF($A22="","",SUMIFS(Transactions!$H$2:$H$1001,Transactions!$B$2:$B$1001,$A22,Transactions!$E$2:$E$1001,"Studio"))</f>
        <v/>
      </c>
      <c r="E22" s="56">
        <f>IF($A22="","",SUMIFS(Transactions!$H$2:$H$1001,Transactions!$B$2:$B$1001,$A22,Transactions!$E$2:$E$1001,"Knokke"))</f>
        <v/>
      </c>
      <c r="F22" s="56">
        <f>IF($A22="","",SUMIFS(Transactions!$H$2:$H$1001,Transactions!$B$2:$B$1001,$A22,Transactions!$E$2:$E$1001,"Warehouse"))</f>
        <v/>
      </c>
      <c r="G22" s="56">
        <f>IF($A22="","",SUM(D22:F22))</f>
        <v/>
      </c>
      <c r="H22" s="60">
        <f>IF($A22="","",VLOOKUP($A22,Catalog!$A$2:$N$201,13,FALSE))</f>
        <v/>
      </c>
      <c r="I22" s="60">
        <f>IF($A22="","",IF(G22&lt;=0,"Out of stock",IF(G22&lt;=H22,"Reorder","Healthy")))</f>
        <v/>
      </c>
      <c r="J22" s="60">
        <f>IF($A22="","",VLOOKUP($A22,Catalog!$A$2:$N$201,2,FALSE))</f>
        <v/>
      </c>
      <c r="K22" s="76">
        <f>IF($A22="","",VLOOKUP($A22,Catalog!$A$2:$N$201,11,FALSE))</f>
        <v/>
      </c>
      <c r="L22" s="76">
        <f>IF($A22="","",G22*K22)</f>
        <v/>
      </c>
      <c r="M22" s="76">
        <f>IF($A22="","",G22*VLOOKUP($A22,Catalog!$A$2:$N$201,12,FALSE))</f>
        <v/>
      </c>
    </row>
    <row r="23">
      <c r="A23" s="60">
        <f>IF(Catalog!A23="","",Catalog!A23)</f>
        <v/>
      </c>
      <c r="B23" s="60">
        <f>IF($A23="","",VLOOKUP($A23,Catalog!$A$2:$N$201,3,FALSE))</f>
        <v/>
      </c>
      <c r="C23" s="60">
        <f>IF($A23="","",VLOOKUP($A23,Catalog!$A$2:$N$201,4,FALSE))</f>
        <v/>
      </c>
      <c r="D23" s="56">
        <f>IF($A23="","",SUMIFS(Transactions!$H$2:$H$1001,Transactions!$B$2:$B$1001,$A23,Transactions!$E$2:$E$1001,"Studio"))</f>
        <v/>
      </c>
      <c r="E23" s="56">
        <f>IF($A23="","",SUMIFS(Transactions!$H$2:$H$1001,Transactions!$B$2:$B$1001,$A23,Transactions!$E$2:$E$1001,"Knokke"))</f>
        <v/>
      </c>
      <c r="F23" s="56">
        <f>IF($A23="","",SUMIFS(Transactions!$H$2:$H$1001,Transactions!$B$2:$B$1001,$A23,Transactions!$E$2:$E$1001,"Warehouse"))</f>
        <v/>
      </c>
      <c r="G23" s="56">
        <f>IF($A23="","",SUM(D23:F23))</f>
        <v/>
      </c>
      <c r="H23" s="60">
        <f>IF($A23="","",VLOOKUP($A23,Catalog!$A$2:$N$201,13,FALSE))</f>
        <v/>
      </c>
      <c r="I23" s="60">
        <f>IF($A23="","",IF(G23&lt;=0,"Out of stock",IF(G23&lt;=H23,"Reorder","Healthy")))</f>
        <v/>
      </c>
      <c r="J23" s="60">
        <f>IF($A23="","",VLOOKUP($A23,Catalog!$A$2:$N$201,2,FALSE))</f>
        <v/>
      </c>
      <c r="K23" s="76">
        <f>IF($A23="","",VLOOKUP($A23,Catalog!$A$2:$N$201,11,FALSE))</f>
        <v/>
      </c>
      <c r="L23" s="76">
        <f>IF($A23="","",G23*K23)</f>
        <v/>
      </c>
      <c r="M23" s="76">
        <f>IF($A23="","",G23*VLOOKUP($A23,Catalog!$A$2:$N$201,12,FALSE))</f>
        <v/>
      </c>
    </row>
    <row r="24">
      <c r="A24" s="60">
        <f>IF(Catalog!A24="","",Catalog!A24)</f>
        <v/>
      </c>
      <c r="B24" s="60">
        <f>IF($A24="","",VLOOKUP($A24,Catalog!$A$2:$N$201,3,FALSE))</f>
        <v/>
      </c>
      <c r="C24" s="60">
        <f>IF($A24="","",VLOOKUP($A24,Catalog!$A$2:$N$201,4,FALSE))</f>
        <v/>
      </c>
      <c r="D24" s="56">
        <f>IF($A24="","",SUMIFS(Transactions!$H$2:$H$1001,Transactions!$B$2:$B$1001,$A24,Transactions!$E$2:$E$1001,"Studio"))</f>
        <v/>
      </c>
      <c r="E24" s="56">
        <f>IF($A24="","",SUMIFS(Transactions!$H$2:$H$1001,Transactions!$B$2:$B$1001,$A24,Transactions!$E$2:$E$1001,"Knokke"))</f>
        <v/>
      </c>
      <c r="F24" s="56">
        <f>IF($A24="","",SUMIFS(Transactions!$H$2:$H$1001,Transactions!$B$2:$B$1001,$A24,Transactions!$E$2:$E$1001,"Warehouse"))</f>
        <v/>
      </c>
      <c r="G24" s="56">
        <f>IF($A24="","",SUM(D24:F24))</f>
        <v/>
      </c>
      <c r="H24" s="60">
        <f>IF($A24="","",VLOOKUP($A24,Catalog!$A$2:$N$201,13,FALSE))</f>
        <v/>
      </c>
      <c r="I24" s="60">
        <f>IF($A24="","",IF(G24&lt;=0,"Out of stock",IF(G24&lt;=H24,"Reorder","Healthy")))</f>
        <v/>
      </c>
      <c r="J24" s="60">
        <f>IF($A24="","",VLOOKUP($A24,Catalog!$A$2:$N$201,2,FALSE))</f>
        <v/>
      </c>
      <c r="K24" s="76">
        <f>IF($A24="","",VLOOKUP($A24,Catalog!$A$2:$N$201,11,FALSE))</f>
        <v/>
      </c>
      <c r="L24" s="76">
        <f>IF($A24="","",G24*K24)</f>
        <v/>
      </c>
      <c r="M24" s="76">
        <f>IF($A24="","",G24*VLOOKUP($A24,Catalog!$A$2:$N$201,12,FALSE))</f>
        <v/>
      </c>
    </row>
    <row r="25">
      <c r="A25" s="60">
        <f>IF(Catalog!A25="","",Catalog!A25)</f>
        <v/>
      </c>
      <c r="B25" s="60">
        <f>IF($A25="","",VLOOKUP($A25,Catalog!$A$2:$N$201,3,FALSE))</f>
        <v/>
      </c>
      <c r="C25" s="60">
        <f>IF($A25="","",VLOOKUP($A25,Catalog!$A$2:$N$201,4,FALSE))</f>
        <v/>
      </c>
      <c r="D25" s="56">
        <f>IF($A25="","",SUMIFS(Transactions!$H$2:$H$1001,Transactions!$B$2:$B$1001,$A25,Transactions!$E$2:$E$1001,"Studio"))</f>
        <v/>
      </c>
      <c r="E25" s="56">
        <f>IF($A25="","",SUMIFS(Transactions!$H$2:$H$1001,Transactions!$B$2:$B$1001,$A25,Transactions!$E$2:$E$1001,"Knokke"))</f>
        <v/>
      </c>
      <c r="F25" s="56">
        <f>IF($A25="","",SUMIFS(Transactions!$H$2:$H$1001,Transactions!$B$2:$B$1001,$A25,Transactions!$E$2:$E$1001,"Warehouse"))</f>
        <v/>
      </c>
      <c r="G25" s="56">
        <f>IF($A25="","",SUM(D25:F25))</f>
        <v/>
      </c>
      <c r="H25" s="60">
        <f>IF($A25="","",VLOOKUP($A25,Catalog!$A$2:$N$201,13,FALSE))</f>
        <v/>
      </c>
      <c r="I25" s="60">
        <f>IF($A25="","",IF(G25&lt;=0,"Out of stock",IF(G25&lt;=H25,"Reorder","Healthy")))</f>
        <v/>
      </c>
      <c r="J25" s="60">
        <f>IF($A25="","",VLOOKUP($A25,Catalog!$A$2:$N$201,2,FALSE))</f>
        <v/>
      </c>
      <c r="K25" s="76">
        <f>IF($A25="","",VLOOKUP($A25,Catalog!$A$2:$N$201,11,FALSE))</f>
        <v/>
      </c>
      <c r="L25" s="76">
        <f>IF($A25="","",G25*K25)</f>
        <v/>
      </c>
      <c r="M25" s="76">
        <f>IF($A25="","",G25*VLOOKUP($A25,Catalog!$A$2:$N$201,12,FALSE))</f>
        <v/>
      </c>
    </row>
    <row r="26">
      <c r="A26" s="60">
        <f>IF(Catalog!A26="","",Catalog!A26)</f>
        <v/>
      </c>
      <c r="B26" s="60">
        <f>IF($A26="","",VLOOKUP($A26,Catalog!$A$2:$N$201,3,FALSE))</f>
        <v/>
      </c>
      <c r="C26" s="60">
        <f>IF($A26="","",VLOOKUP($A26,Catalog!$A$2:$N$201,4,FALSE))</f>
        <v/>
      </c>
      <c r="D26" s="56">
        <f>IF($A26="","",SUMIFS(Transactions!$H$2:$H$1001,Transactions!$B$2:$B$1001,$A26,Transactions!$E$2:$E$1001,"Studio"))</f>
        <v/>
      </c>
      <c r="E26" s="56">
        <f>IF($A26="","",SUMIFS(Transactions!$H$2:$H$1001,Transactions!$B$2:$B$1001,$A26,Transactions!$E$2:$E$1001,"Knokke"))</f>
        <v/>
      </c>
      <c r="F26" s="56">
        <f>IF($A26="","",SUMIFS(Transactions!$H$2:$H$1001,Transactions!$B$2:$B$1001,$A26,Transactions!$E$2:$E$1001,"Warehouse"))</f>
        <v/>
      </c>
      <c r="G26" s="56">
        <f>IF($A26="","",SUM(D26:F26))</f>
        <v/>
      </c>
      <c r="H26" s="60">
        <f>IF($A26="","",VLOOKUP($A26,Catalog!$A$2:$N$201,13,FALSE))</f>
        <v/>
      </c>
      <c r="I26" s="60">
        <f>IF($A26="","",IF(G26&lt;=0,"Out of stock",IF(G26&lt;=H26,"Reorder","Healthy")))</f>
        <v/>
      </c>
      <c r="J26" s="60">
        <f>IF($A26="","",VLOOKUP($A26,Catalog!$A$2:$N$201,2,FALSE))</f>
        <v/>
      </c>
      <c r="K26" s="76">
        <f>IF($A26="","",VLOOKUP($A26,Catalog!$A$2:$N$201,11,FALSE))</f>
        <v/>
      </c>
      <c r="L26" s="76">
        <f>IF($A26="","",G26*K26)</f>
        <v/>
      </c>
      <c r="M26" s="76">
        <f>IF($A26="","",G26*VLOOKUP($A26,Catalog!$A$2:$N$201,12,FALSE))</f>
        <v/>
      </c>
    </row>
    <row r="27">
      <c r="A27" s="60">
        <f>IF(Catalog!A27="","",Catalog!A27)</f>
        <v/>
      </c>
      <c r="B27" s="60">
        <f>IF($A27="","",VLOOKUP($A27,Catalog!$A$2:$N$201,3,FALSE))</f>
        <v/>
      </c>
      <c r="C27" s="60">
        <f>IF($A27="","",VLOOKUP($A27,Catalog!$A$2:$N$201,4,FALSE))</f>
        <v/>
      </c>
      <c r="D27" s="56">
        <f>IF($A27="","",SUMIFS(Transactions!$H$2:$H$1001,Transactions!$B$2:$B$1001,$A27,Transactions!$E$2:$E$1001,"Studio"))</f>
        <v/>
      </c>
      <c r="E27" s="56">
        <f>IF($A27="","",SUMIFS(Transactions!$H$2:$H$1001,Transactions!$B$2:$B$1001,$A27,Transactions!$E$2:$E$1001,"Knokke"))</f>
        <v/>
      </c>
      <c r="F27" s="56">
        <f>IF($A27="","",SUMIFS(Transactions!$H$2:$H$1001,Transactions!$B$2:$B$1001,$A27,Transactions!$E$2:$E$1001,"Warehouse"))</f>
        <v/>
      </c>
      <c r="G27" s="56">
        <f>IF($A27="","",SUM(D27:F27))</f>
        <v/>
      </c>
      <c r="H27" s="60">
        <f>IF($A27="","",VLOOKUP($A27,Catalog!$A$2:$N$201,13,FALSE))</f>
        <v/>
      </c>
      <c r="I27" s="60">
        <f>IF($A27="","",IF(G27&lt;=0,"Out of stock",IF(G27&lt;=H27,"Reorder","Healthy")))</f>
        <v/>
      </c>
      <c r="J27" s="60">
        <f>IF($A27="","",VLOOKUP($A27,Catalog!$A$2:$N$201,2,FALSE))</f>
        <v/>
      </c>
      <c r="K27" s="76">
        <f>IF($A27="","",VLOOKUP($A27,Catalog!$A$2:$N$201,11,FALSE))</f>
        <v/>
      </c>
      <c r="L27" s="76">
        <f>IF($A27="","",G27*K27)</f>
        <v/>
      </c>
      <c r="M27" s="76">
        <f>IF($A27="","",G27*VLOOKUP($A27,Catalog!$A$2:$N$201,12,FALSE))</f>
        <v/>
      </c>
    </row>
    <row r="28">
      <c r="A28" s="60">
        <f>IF(Catalog!A28="","",Catalog!A28)</f>
        <v/>
      </c>
      <c r="B28" s="60">
        <f>IF($A28="","",VLOOKUP($A28,Catalog!$A$2:$N$201,3,FALSE))</f>
        <v/>
      </c>
      <c r="C28" s="60">
        <f>IF($A28="","",VLOOKUP($A28,Catalog!$A$2:$N$201,4,FALSE))</f>
        <v/>
      </c>
      <c r="D28" s="56">
        <f>IF($A28="","",SUMIFS(Transactions!$H$2:$H$1001,Transactions!$B$2:$B$1001,$A28,Transactions!$E$2:$E$1001,"Studio"))</f>
        <v/>
      </c>
      <c r="E28" s="56">
        <f>IF($A28="","",SUMIFS(Transactions!$H$2:$H$1001,Transactions!$B$2:$B$1001,$A28,Transactions!$E$2:$E$1001,"Knokke"))</f>
        <v/>
      </c>
      <c r="F28" s="56">
        <f>IF($A28="","",SUMIFS(Transactions!$H$2:$H$1001,Transactions!$B$2:$B$1001,$A28,Transactions!$E$2:$E$1001,"Warehouse"))</f>
        <v/>
      </c>
      <c r="G28" s="56">
        <f>IF($A28="","",SUM(D28:F28))</f>
        <v/>
      </c>
      <c r="H28" s="60">
        <f>IF($A28="","",VLOOKUP($A28,Catalog!$A$2:$N$201,13,FALSE))</f>
        <v/>
      </c>
      <c r="I28" s="60">
        <f>IF($A28="","",IF(G28&lt;=0,"Out of stock",IF(G28&lt;=H28,"Reorder","Healthy")))</f>
        <v/>
      </c>
      <c r="J28" s="60">
        <f>IF($A28="","",VLOOKUP($A28,Catalog!$A$2:$N$201,2,FALSE))</f>
        <v/>
      </c>
      <c r="K28" s="76">
        <f>IF($A28="","",VLOOKUP($A28,Catalog!$A$2:$N$201,11,FALSE))</f>
        <v/>
      </c>
      <c r="L28" s="76">
        <f>IF($A28="","",G28*K28)</f>
        <v/>
      </c>
      <c r="M28" s="76">
        <f>IF($A28="","",G28*VLOOKUP($A28,Catalog!$A$2:$N$201,12,FALSE))</f>
        <v/>
      </c>
    </row>
    <row r="29">
      <c r="A29" s="60">
        <f>IF(Catalog!A29="","",Catalog!A29)</f>
        <v/>
      </c>
      <c r="B29" s="60">
        <f>IF($A29="","",VLOOKUP($A29,Catalog!$A$2:$N$201,3,FALSE))</f>
        <v/>
      </c>
      <c r="C29" s="60">
        <f>IF($A29="","",VLOOKUP($A29,Catalog!$A$2:$N$201,4,FALSE))</f>
        <v/>
      </c>
      <c r="D29" s="56">
        <f>IF($A29="","",SUMIFS(Transactions!$H$2:$H$1001,Transactions!$B$2:$B$1001,$A29,Transactions!$E$2:$E$1001,"Studio"))</f>
        <v/>
      </c>
      <c r="E29" s="56">
        <f>IF($A29="","",SUMIFS(Transactions!$H$2:$H$1001,Transactions!$B$2:$B$1001,$A29,Transactions!$E$2:$E$1001,"Knokke"))</f>
        <v/>
      </c>
      <c r="F29" s="56">
        <f>IF($A29="","",SUMIFS(Transactions!$H$2:$H$1001,Transactions!$B$2:$B$1001,$A29,Transactions!$E$2:$E$1001,"Warehouse"))</f>
        <v/>
      </c>
      <c r="G29" s="56">
        <f>IF($A29="","",SUM(D29:F29))</f>
        <v/>
      </c>
      <c r="H29" s="60">
        <f>IF($A29="","",VLOOKUP($A29,Catalog!$A$2:$N$201,13,FALSE))</f>
        <v/>
      </c>
      <c r="I29" s="60">
        <f>IF($A29="","",IF(G29&lt;=0,"Out of stock",IF(G29&lt;=H29,"Reorder","Healthy")))</f>
        <v/>
      </c>
      <c r="J29" s="60">
        <f>IF($A29="","",VLOOKUP($A29,Catalog!$A$2:$N$201,2,FALSE))</f>
        <v/>
      </c>
      <c r="K29" s="76">
        <f>IF($A29="","",VLOOKUP($A29,Catalog!$A$2:$N$201,11,FALSE))</f>
        <v/>
      </c>
      <c r="L29" s="76">
        <f>IF($A29="","",G29*K29)</f>
        <v/>
      </c>
      <c r="M29" s="76">
        <f>IF($A29="","",G29*VLOOKUP($A29,Catalog!$A$2:$N$201,12,FALSE))</f>
        <v/>
      </c>
    </row>
    <row r="30">
      <c r="A30" s="60">
        <f>IF(Catalog!A30="","",Catalog!A30)</f>
        <v/>
      </c>
      <c r="B30" s="60">
        <f>IF($A30="","",VLOOKUP($A30,Catalog!$A$2:$N$201,3,FALSE))</f>
        <v/>
      </c>
      <c r="C30" s="60">
        <f>IF($A30="","",VLOOKUP($A30,Catalog!$A$2:$N$201,4,FALSE))</f>
        <v/>
      </c>
      <c r="D30" s="56">
        <f>IF($A30="","",SUMIFS(Transactions!$H$2:$H$1001,Transactions!$B$2:$B$1001,$A30,Transactions!$E$2:$E$1001,"Studio"))</f>
        <v/>
      </c>
      <c r="E30" s="56">
        <f>IF($A30="","",SUMIFS(Transactions!$H$2:$H$1001,Transactions!$B$2:$B$1001,$A30,Transactions!$E$2:$E$1001,"Knokke"))</f>
        <v/>
      </c>
      <c r="F30" s="56">
        <f>IF($A30="","",SUMIFS(Transactions!$H$2:$H$1001,Transactions!$B$2:$B$1001,$A30,Transactions!$E$2:$E$1001,"Warehouse"))</f>
        <v/>
      </c>
      <c r="G30" s="56">
        <f>IF($A30="","",SUM(D30:F30))</f>
        <v/>
      </c>
      <c r="H30" s="60">
        <f>IF($A30="","",VLOOKUP($A30,Catalog!$A$2:$N$201,13,FALSE))</f>
        <v/>
      </c>
      <c r="I30" s="60">
        <f>IF($A30="","",IF(G30&lt;=0,"Out of stock",IF(G30&lt;=H30,"Reorder","Healthy")))</f>
        <v/>
      </c>
      <c r="J30" s="60">
        <f>IF($A30="","",VLOOKUP($A30,Catalog!$A$2:$N$201,2,FALSE))</f>
        <v/>
      </c>
      <c r="K30" s="76">
        <f>IF($A30="","",VLOOKUP($A30,Catalog!$A$2:$N$201,11,FALSE))</f>
        <v/>
      </c>
      <c r="L30" s="76">
        <f>IF($A30="","",G30*K30)</f>
        <v/>
      </c>
      <c r="M30" s="76">
        <f>IF($A30="","",G30*VLOOKUP($A30,Catalog!$A$2:$N$201,12,FALSE))</f>
        <v/>
      </c>
    </row>
    <row r="31">
      <c r="A31" s="60">
        <f>IF(Catalog!A31="","",Catalog!A31)</f>
        <v/>
      </c>
      <c r="B31" s="60">
        <f>IF($A31="","",VLOOKUP($A31,Catalog!$A$2:$N$201,3,FALSE))</f>
        <v/>
      </c>
      <c r="C31" s="60">
        <f>IF($A31="","",VLOOKUP($A31,Catalog!$A$2:$N$201,4,FALSE))</f>
        <v/>
      </c>
      <c r="D31" s="56">
        <f>IF($A31="","",SUMIFS(Transactions!$H$2:$H$1001,Transactions!$B$2:$B$1001,$A31,Transactions!$E$2:$E$1001,"Studio"))</f>
        <v/>
      </c>
      <c r="E31" s="56">
        <f>IF($A31="","",SUMIFS(Transactions!$H$2:$H$1001,Transactions!$B$2:$B$1001,$A31,Transactions!$E$2:$E$1001,"Knokke"))</f>
        <v/>
      </c>
      <c r="F31" s="56">
        <f>IF($A31="","",SUMIFS(Transactions!$H$2:$H$1001,Transactions!$B$2:$B$1001,$A31,Transactions!$E$2:$E$1001,"Warehouse"))</f>
        <v/>
      </c>
      <c r="G31" s="56">
        <f>IF($A31="","",SUM(D31:F31))</f>
        <v/>
      </c>
      <c r="H31" s="60">
        <f>IF($A31="","",VLOOKUP($A31,Catalog!$A$2:$N$201,13,FALSE))</f>
        <v/>
      </c>
      <c r="I31" s="60">
        <f>IF($A31="","",IF(G31&lt;=0,"Out of stock",IF(G31&lt;=H31,"Reorder","Healthy")))</f>
        <v/>
      </c>
      <c r="J31" s="60">
        <f>IF($A31="","",VLOOKUP($A31,Catalog!$A$2:$N$201,2,FALSE))</f>
        <v/>
      </c>
      <c r="K31" s="76">
        <f>IF($A31="","",VLOOKUP($A31,Catalog!$A$2:$N$201,11,FALSE))</f>
        <v/>
      </c>
      <c r="L31" s="76">
        <f>IF($A31="","",G31*K31)</f>
        <v/>
      </c>
      <c r="M31" s="76">
        <f>IF($A31="","",G31*VLOOKUP($A31,Catalog!$A$2:$N$201,12,FALSE))</f>
        <v/>
      </c>
    </row>
    <row r="32">
      <c r="A32" s="60">
        <f>IF(Catalog!A32="","",Catalog!A32)</f>
        <v/>
      </c>
      <c r="B32" s="60">
        <f>IF($A32="","",VLOOKUP($A32,Catalog!$A$2:$N$201,3,FALSE))</f>
        <v/>
      </c>
      <c r="C32" s="60">
        <f>IF($A32="","",VLOOKUP($A32,Catalog!$A$2:$N$201,4,FALSE))</f>
        <v/>
      </c>
      <c r="D32" s="56">
        <f>IF($A32="","",SUMIFS(Transactions!$H$2:$H$1001,Transactions!$B$2:$B$1001,$A32,Transactions!$E$2:$E$1001,"Studio"))</f>
        <v/>
      </c>
      <c r="E32" s="56">
        <f>IF($A32="","",SUMIFS(Transactions!$H$2:$H$1001,Transactions!$B$2:$B$1001,$A32,Transactions!$E$2:$E$1001,"Knokke"))</f>
        <v/>
      </c>
      <c r="F32" s="56">
        <f>IF($A32="","",SUMIFS(Transactions!$H$2:$H$1001,Transactions!$B$2:$B$1001,$A32,Transactions!$E$2:$E$1001,"Warehouse"))</f>
        <v/>
      </c>
      <c r="G32" s="56">
        <f>IF($A32="","",SUM(D32:F32))</f>
        <v/>
      </c>
      <c r="H32" s="60">
        <f>IF($A32="","",VLOOKUP($A32,Catalog!$A$2:$N$201,13,FALSE))</f>
        <v/>
      </c>
      <c r="I32" s="60">
        <f>IF($A32="","",IF(G32&lt;=0,"Out of stock",IF(G32&lt;=H32,"Reorder","Healthy")))</f>
        <v/>
      </c>
      <c r="J32" s="60">
        <f>IF($A32="","",VLOOKUP($A32,Catalog!$A$2:$N$201,2,FALSE))</f>
        <v/>
      </c>
      <c r="K32" s="76">
        <f>IF($A32="","",VLOOKUP($A32,Catalog!$A$2:$N$201,11,FALSE))</f>
        <v/>
      </c>
      <c r="L32" s="76">
        <f>IF($A32="","",G32*K32)</f>
        <v/>
      </c>
      <c r="M32" s="76">
        <f>IF($A32="","",G32*VLOOKUP($A32,Catalog!$A$2:$N$201,12,FALSE))</f>
        <v/>
      </c>
    </row>
    <row r="33">
      <c r="A33" s="60">
        <f>IF(Catalog!A33="","",Catalog!A33)</f>
        <v/>
      </c>
      <c r="B33" s="60">
        <f>IF($A33="","",VLOOKUP($A33,Catalog!$A$2:$N$201,3,FALSE))</f>
        <v/>
      </c>
      <c r="C33" s="60">
        <f>IF($A33="","",VLOOKUP($A33,Catalog!$A$2:$N$201,4,FALSE))</f>
        <v/>
      </c>
      <c r="D33" s="56">
        <f>IF($A33="","",SUMIFS(Transactions!$H$2:$H$1001,Transactions!$B$2:$B$1001,$A33,Transactions!$E$2:$E$1001,"Studio"))</f>
        <v/>
      </c>
      <c r="E33" s="56">
        <f>IF($A33="","",SUMIFS(Transactions!$H$2:$H$1001,Transactions!$B$2:$B$1001,$A33,Transactions!$E$2:$E$1001,"Knokke"))</f>
        <v/>
      </c>
      <c r="F33" s="56">
        <f>IF($A33="","",SUMIFS(Transactions!$H$2:$H$1001,Transactions!$B$2:$B$1001,$A33,Transactions!$E$2:$E$1001,"Warehouse"))</f>
        <v/>
      </c>
      <c r="G33" s="56">
        <f>IF($A33="","",SUM(D33:F33))</f>
        <v/>
      </c>
      <c r="H33" s="60">
        <f>IF($A33="","",VLOOKUP($A33,Catalog!$A$2:$N$201,13,FALSE))</f>
        <v/>
      </c>
      <c r="I33" s="60">
        <f>IF($A33="","",IF(G33&lt;=0,"Out of stock",IF(G33&lt;=H33,"Reorder","Healthy")))</f>
        <v/>
      </c>
      <c r="J33" s="60">
        <f>IF($A33="","",VLOOKUP($A33,Catalog!$A$2:$N$201,2,FALSE))</f>
        <v/>
      </c>
      <c r="K33" s="76">
        <f>IF($A33="","",VLOOKUP($A33,Catalog!$A$2:$N$201,11,FALSE))</f>
        <v/>
      </c>
      <c r="L33" s="76">
        <f>IF($A33="","",G33*K33)</f>
        <v/>
      </c>
      <c r="M33" s="76">
        <f>IF($A33="","",G33*VLOOKUP($A33,Catalog!$A$2:$N$201,12,FALSE))</f>
        <v/>
      </c>
    </row>
    <row r="34">
      <c r="A34" s="60">
        <f>IF(Catalog!A34="","",Catalog!A34)</f>
        <v/>
      </c>
      <c r="B34" s="60">
        <f>IF($A34="","",VLOOKUP($A34,Catalog!$A$2:$N$201,3,FALSE))</f>
        <v/>
      </c>
      <c r="C34" s="60">
        <f>IF($A34="","",VLOOKUP($A34,Catalog!$A$2:$N$201,4,FALSE))</f>
        <v/>
      </c>
      <c r="D34" s="56">
        <f>IF($A34="","",SUMIFS(Transactions!$H$2:$H$1001,Transactions!$B$2:$B$1001,$A34,Transactions!$E$2:$E$1001,"Studio"))</f>
        <v/>
      </c>
      <c r="E34" s="56">
        <f>IF($A34="","",SUMIFS(Transactions!$H$2:$H$1001,Transactions!$B$2:$B$1001,$A34,Transactions!$E$2:$E$1001,"Knokke"))</f>
        <v/>
      </c>
      <c r="F34" s="56">
        <f>IF($A34="","",SUMIFS(Transactions!$H$2:$H$1001,Transactions!$B$2:$B$1001,$A34,Transactions!$E$2:$E$1001,"Warehouse"))</f>
        <v/>
      </c>
      <c r="G34" s="56">
        <f>IF($A34="","",SUM(D34:F34))</f>
        <v/>
      </c>
      <c r="H34" s="60">
        <f>IF($A34="","",VLOOKUP($A34,Catalog!$A$2:$N$201,13,FALSE))</f>
        <v/>
      </c>
      <c r="I34" s="60">
        <f>IF($A34="","",IF(G34&lt;=0,"Out of stock",IF(G34&lt;=H34,"Reorder","Healthy")))</f>
        <v/>
      </c>
      <c r="J34" s="60">
        <f>IF($A34="","",VLOOKUP($A34,Catalog!$A$2:$N$201,2,FALSE))</f>
        <v/>
      </c>
      <c r="K34" s="76">
        <f>IF($A34="","",VLOOKUP($A34,Catalog!$A$2:$N$201,11,FALSE))</f>
        <v/>
      </c>
      <c r="L34" s="76">
        <f>IF($A34="","",G34*K34)</f>
        <v/>
      </c>
      <c r="M34" s="76">
        <f>IF($A34="","",G34*VLOOKUP($A34,Catalog!$A$2:$N$201,12,FALSE))</f>
        <v/>
      </c>
    </row>
    <row r="35">
      <c r="A35" s="60">
        <f>IF(Catalog!A35="","",Catalog!A35)</f>
        <v/>
      </c>
      <c r="B35" s="60">
        <f>IF($A35="","",VLOOKUP($A35,Catalog!$A$2:$N$201,3,FALSE))</f>
        <v/>
      </c>
      <c r="C35" s="60">
        <f>IF($A35="","",VLOOKUP($A35,Catalog!$A$2:$N$201,4,FALSE))</f>
        <v/>
      </c>
      <c r="D35" s="56">
        <f>IF($A35="","",SUMIFS(Transactions!$H$2:$H$1001,Transactions!$B$2:$B$1001,$A35,Transactions!$E$2:$E$1001,"Studio"))</f>
        <v/>
      </c>
      <c r="E35" s="56">
        <f>IF($A35="","",SUMIFS(Transactions!$H$2:$H$1001,Transactions!$B$2:$B$1001,$A35,Transactions!$E$2:$E$1001,"Knokke"))</f>
        <v/>
      </c>
      <c r="F35" s="56">
        <f>IF($A35="","",SUMIFS(Transactions!$H$2:$H$1001,Transactions!$B$2:$B$1001,$A35,Transactions!$E$2:$E$1001,"Warehouse"))</f>
        <v/>
      </c>
      <c r="G35" s="56">
        <f>IF($A35="","",SUM(D35:F35))</f>
        <v/>
      </c>
      <c r="H35" s="60">
        <f>IF($A35="","",VLOOKUP($A35,Catalog!$A$2:$N$201,13,FALSE))</f>
        <v/>
      </c>
      <c r="I35" s="60">
        <f>IF($A35="","",IF(G35&lt;=0,"Out of stock",IF(G35&lt;=H35,"Reorder","Healthy")))</f>
        <v/>
      </c>
      <c r="J35" s="60">
        <f>IF($A35="","",VLOOKUP($A35,Catalog!$A$2:$N$201,2,FALSE))</f>
        <v/>
      </c>
      <c r="K35" s="76">
        <f>IF($A35="","",VLOOKUP($A35,Catalog!$A$2:$N$201,11,FALSE))</f>
        <v/>
      </c>
      <c r="L35" s="76">
        <f>IF($A35="","",G35*K35)</f>
        <v/>
      </c>
      <c r="M35" s="76">
        <f>IF($A35="","",G35*VLOOKUP($A35,Catalog!$A$2:$N$201,12,FALSE))</f>
        <v/>
      </c>
    </row>
    <row r="36">
      <c r="A36" s="60">
        <f>IF(Catalog!A36="","",Catalog!A36)</f>
        <v/>
      </c>
      <c r="B36" s="60">
        <f>IF($A36="","",VLOOKUP($A36,Catalog!$A$2:$N$201,3,FALSE))</f>
        <v/>
      </c>
      <c r="C36" s="60">
        <f>IF($A36="","",VLOOKUP($A36,Catalog!$A$2:$N$201,4,FALSE))</f>
        <v/>
      </c>
      <c r="D36" s="56">
        <f>IF($A36="","",SUMIFS(Transactions!$H$2:$H$1001,Transactions!$B$2:$B$1001,$A36,Transactions!$E$2:$E$1001,"Studio"))</f>
        <v/>
      </c>
      <c r="E36" s="56">
        <f>IF($A36="","",SUMIFS(Transactions!$H$2:$H$1001,Transactions!$B$2:$B$1001,$A36,Transactions!$E$2:$E$1001,"Knokke"))</f>
        <v/>
      </c>
      <c r="F36" s="56">
        <f>IF($A36="","",SUMIFS(Transactions!$H$2:$H$1001,Transactions!$B$2:$B$1001,$A36,Transactions!$E$2:$E$1001,"Warehouse"))</f>
        <v/>
      </c>
      <c r="G36" s="56">
        <f>IF($A36="","",SUM(D36:F36))</f>
        <v/>
      </c>
      <c r="H36" s="60">
        <f>IF($A36="","",VLOOKUP($A36,Catalog!$A$2:$N$201,13,FALSE))</f>
        <v/>
      </c>
      <c r="I36" s="60">
        <f>IF($A36="","",IF(G36&lt;=0,"Out of stock",IF(G36&lt;=H36,"Reorder","Healthy")))</f>
        <v/>
      </c>
      <c r="J36" s="60">
        <f>IF($A36="","",VLOOKUP($A36,Catalog!$A$2:$N$201,2,FALSE))</f>
        <v/>
      </c>
      <c r="K36" s="76">
        <f>IF($A36="","",VLOOKUP($A36,Catalog!$A$2:$N$201,11,FALSE))</f>
        <v/>
      </c>
      <c r="L36" s="76">
        <f>IF($A36="","",G36*K36)</f>
        <v/>
      </c>
      <c r="M36" s="76">
        <f>IF($A36="","",G36*VLOOKUP($A36,Catalog!$A$2:$N$201,12,FALSE))</f>
        <v/>
      </c>
    </row>
    <row r="37">
      <c r="A37" s="60">
        <f>IF(Catalog!A37="","",Catalog!A37)</f>
        <v/>
      </c>
      <c r="B37" s="60">
        <f>IF($A37="","",VLOOKUP($A37,Catalog!$A$2:$N$201,3,FALSE))</f>
        <v/>
      </c>
      <c r="C37" s="60">
        <f>IF($A37="","",VLOOKUP($A37,Catalog!$A$2:$N$201,4,FALSE))</f>
        <v/>
      </c>
      <c r="D37" s="56">
        <f>IF($A37="","",SUMIFS(Transactions!$H$2:$H$1001,Transactions!$B$2:$B$1001,$A37,Transactions!$E$2:$E$1001,"Studio"))</f>
        <v/>
      </c>
      <c r="E37" s="56">
        <f>IF($A37="","",SUMIFS(Transactions!$H$2:$H$1001,Transactions!$B$2:$B$1001,$A37,Transactions!$E$2:$E$1001,"Knokke"))</f>
        <v/>
      </c>
      <c r="F37" s="56">
        <f>IF($A37="","",SUMIFS(Transactions!$H$2:$H$1001,Transactions!$B$2:$B$1001,$A37,Transactions!$E$2:$E$1001,"Warehouse"))</f>
        <v/>
      </c>
      <c r="G37" s="56">
        <f>IF($A37="","",SUM(D37:F37))</f>
        <v/>
      </c>
      <c r="H37" s="60">
        <f>IF($A37="","",VLOOKUP($A37,Catalog!$A$2:$N$201,13,FALSE))</f>
        <v/>
      </c>
      <c r="I37" s="60">
        <f>IF($A37="","",IF(G37&lt;=0,"Out of stock",IF(G37&lt;=H37,"Reorder","Healthy")))</f>
        <v/>
      </c>
      <c r="J37" s="60">
        <f>IF($A37="","",VLOOKUP($A37,Catalog!$A$2:$N$201,2,FALSE))</f>
        <v/>
      </c>
      <c r="K37" s="76">
        <f>IF($A37="","",VLOOKUP($A37,Catalog!$A$2:$N$201,11,FALSE))</f>
        <v/>
      </c>
      <c r="L37" s="76">
        <f>IF($A37="","",G37*K37)</f>
        <v/>
      </c>
      <c r="M37" s="76">
        <f>IF($A37="","",G37*VLOOKUP($A37,Catalog!$A$2:$N$201,12,FALSE))</f>
        <v/>
      </c>
    </row>
    <row r="38">
      <c r="A38" s="60">
        <f>IF(Catalog!A38="","",Catalog!A38)</f>
        <v/>
      </c>
      <c r="B38" s="60">
        <f>IF($A38="","",VLOOKUP($A38,Catalog!$A$2:$N$201,3,FALSE))</f>
        <v/>
      </c>
      <c r="C38" s="60">
        <f>IF($A38="","",VLOOKUP($A38,Catalog!$A$2:$N$201,4,FALSE))</f>
        <v/>
      </c>
      <c r="D38" s="56">
        <f>IF($A38="","",SUMIFS(Transactions!$H$2:$H$1001,Transactions!$B$2:$B$1001,$A38,Transactions!$E$2:$E$1001,"Studio"))</f>
        <v/>
      </c>
      <c r="E38" s="56">
        <f>IF($A38="","",SUMIFS(Transactions!$H$2:$H$1001,Transactions!$B$2:$B$1001,$A38,Transactions!$E$2:$E$1001,"Knokke"))</f>
        <v/>
      </c>
      <c r="F38" s="56">
        <f>IF($A38="","",SUMIFS(Transactions!$H$2:$H$1001,Transactions!$B$2:$B$1001,$A38,Transactions!$E$2:$E$1001,"Warehouse"))</f>
        <v/>
      </c>
      <c r="G38" s="56">
        <f>IF($A38="","",SUM(D38:F38))</f>
        <v/>
      </c>
      <c r="H38" s="60">
        <f>IF($A38="","",VLOOKUP($A38,Catalog!$A$2:$N$201,13,FALSE))</f>
        <v/>
      </c>
      <c r="I38" s="60">
        <f>IF($A38="","",IF(G38&lt;=0,"Out of stock",IF(G38&lt;=H38,"Reorder","Healthy")))</f>
        <v/>
      </c>
      <c r="J38" s="60">
        <f>IF($A38="","",VLOOKUP($A38,Catalog!$A$2:$N$201,2,FALSE))</f>
        <v/>
      </c>
      <c r="K38" s="76">
        <f>IF($A38="","",VLOOKUP($A38,Catalog!$A$2:$N$201,11,FALSE))</f>
        <v/>
      </c>
      <c r="L38" s="76">
        <f>IF($A38="","",G38*K38)</f>
        <v/>
      </c>
      <c r="M38" s="76">
        <f>IF($A38="","",G38*VLOOKUP($A38,Catalog!$A$2:$N$201,12,FALSE))</f>
        <v/>
      </c>
    </row>
    <row r="39">
      <c r="A39" s="60">
        <f>IF(Catalog!A39="","",Catalog!A39)</f>
        <v/>
      </c>
      <c r="B39" s="60">
        <f>IF($A39="","",VLOOKUP($A39,Catalog!$A$2:$N$201,3,FALSE))</f>
        <v/>
      </c>
      <c r="C39" s="60">
        <f>IF($A39="","",VLOOKUP($A39,Catalog!$A$2:$N$201,4,FALSE))</f>
        <v/>
      </c>
      <c r="D39" s="56">
        <f>IF($A39="","",SUMIFS(Transactions!$H$2:$H$1001,Transactions!$B$2:$B$1001,$A39,Transactions!$E$2:$E$1001,"Studio"))</f>
        <v/>
      </c>
      <c r="E39" s="56">
        <f>IF($A39="","",SUMIFS(Transactions!$H$2:$H$1001,Transactions!$B$2:$B$1001,$A39,Transactions!$E$2:$E$1001,"Knokke"))</f>
        <v/>
      </c>
      <c r="F39" s="56">
        <f>IF($A39="","",SUMIFS(Transactions!$H$2:$H$1001,Transactions!$B$2:$B$1001,$A39,Transactions!$E$2:$E$1001,"Warehouse"))</f>
        <v/>
      </c>
      <c r="G39" s="56">
        <f>IF($A39="","",SUM(D39:F39))</f>
        <v/>
      </c>
      <c r="H39" s="60">
        <f>IF($A39="","",VLOOKUP($A39,Catalog!$A$2:$N$201,13,FALSE))</f>
        <v/>
      </c>
      <c r="I39" s="60">
        <f>IF($A39="","",IF(G39&lt;=0,"Out of stock",IF(G39&lt;=H39,"Reorder","Healthy")))</f>
        <v/>
      </c>
      <c r="J39" s="60">
        <f>IF($A39="","",VLOOKUP($A39,Catalog!$A$2:$N$201,2,FALSE))</f>
        <v/>
      </c>
      <c r="K39" s="76">
        <f>IF($A39="","",VLOOKUP($A39,Catalog!$A$2:$N$201,11,FALSE))</f>
        <v/>
      </c>
      <c r="L39" s="76">
        <f>IF($A39="","",G39*K39)</f>
        <v/>
      </c>
      <c r="M39" s="76">
        <f>IF($A39="","",G39*VLOOKUP($A39,Catalog!$A$2:$N$201,12,FALSE))</f>
        <v/>
      </c>
    </row>
    <row r="40">
      <c r="A40" s="60">
        <f>IF(Catalog!A40="","",Catalog!A40)</f>
        <v/>
      </c>
      <c r="B40" s="60">
        <f>IF($A40="","",VLOOKUP($A40,Catalog!$A$2:$N$201,3,FALSE))</f>
        <v/>
      </c>
      <c r="C40" s="60">
        <f>IF($A40="","",VLOOKUP($A40,Catalog!$A$2:$N$201,4,FALSE))</f>
        <v/>
      </c>
      <c r="D40" s="56">
        <f>IF($A40="","",SUMIFS(Transactions!$H$2:$H$1001,Transactions!$B$2:$B$1001,$A40,Transactions!$E$2:$E$1001,"Studio"))</f>
        <v/>
      </c>
      <c r="E40" s="56">
        <f>IF($A40="","",SUMIFS(Transactions!$H$2:$H$1001,Transactions!$B$2:$B$1001,$A40,Transactions!$E$2:$E$1001,"Knokke"))</f>
        <v/>
      </c>
      <c r="F40" s="56">
        <f>IF($A40="","",SUMIFS(Transactions!$H$2:$H$1001,Transactions!$B$2:$B$1001,$A40,Transactions!$E$2:$E$1001,"Warehouse"))</f>
        <v/>
      </c>
      <c r="G40" s="56">
        <f>IF($A40="","",SUM(D40:F40))</f>
        <v/>
      </c>
      <c r="H40" s="60">
        <f>IF($A40="","",VLOOKUP($A40,Catalog!$A$2:$N$201,13,FALSE))</f>
        <v/>
      </c>
      <c r="I40" s="60">
        <f>IF($A40="","",IF(G40&lt;=0,"Out of stock",IF(G40&lt;=H40,"Reorder","Healthy")))</f>
        <v/>
      </c>
      <c r="J40" s="60">
        <f>IF($A40="","",VLOOKUP($A40,Catalog!$A$2:$N$201,2,FALSE))</f>
        <v/>
      </c>
      <c r="K40" s="76">
        <f>IF($A40="","",VLOOKUP($A40,Catalog!$A$2:$N$201,11,FALSE))</f>
        <v/>
      </c>
      <c r="L40" s="76">
        <f>IF($A40="","",G40*K40)</f>
        <v/>
      </c>
      <c r="M40" s="76">
        <f>IF($A40="","",G40*VLOOKUP($A40,Catalog!$A$2:$N$201,12,FALSE))</f>
        <v/>
      </c>
    </row>
    <row r="41">
      <c r="A41" s="60">
        <f>IF(Catalog!A41="","",Catalog!A41)</f>
        <v/>
      </c>
      <c r="B41" s="60">
        <f>IF($A41="","",VLOOKUP($A41,Catalog!$A$2:$N$201,3,FALSE))</f>
        <v/>
      </c>
      <c r="C41" s="60">
        <f>IF($A41="","",VLOOKUP($A41,Catalog!$A$2:$N$201,4,FALSE))</f>
        <v/>
      </c>
      <c r="D41" s="56">
        <f>IF($A41="","",SUMIFS(Transactions!$H$2:$H$1001,Transactions!$B$2:$B$1001,$A41,Transactions!$E$2:$E$1001,"Studio"))</f>
        <v/>
      </c>
      <c r="E41" s="56">
        <f>IF($A41="","",SUMIFS(Transactions!$H$2:$H$1001,Transactions!$B$2:$B$1001,$A41,Transactions!$E$2:$E$1001,"Knokke"))</f>
        <v/>
      </c>
      <c r="F41" s="56">
        <f>IF($A41="","",SUMIFS(Transactions!$H$2:$H$1001,Transactions!$B$2:$B$1001,$A41,Transactions!$E$2:$E$1001,"Warehouse"))</f>
        <v/>
      </c>
      <c r="G41" s="56">
        <f>IF($A41="","",SUM(D41:F41))</f>
        <v/>
      </c>
      <c r="H41" s="60">
        <f>IF($A41="","",VLOOKUP($A41,Catalog!$A$2:$N$201,13,FALSE))</f>
        <v/>
      </c>
      <c r="I41" s="60">
        <f>IF($A41="","",IF(G41&lt;=0,"Out of stock",IF(G41&lt;=H41,"Reorder","Healthy")))</f>
        <v/>
      </c>
      <c r="J41" s="60">
        <f>IF($A41="","",VLOOKUP($A41,Catalog!$A$2:$N$201,2,FALSE))</f>
        <v/>
      </c>
      <c r="K41" s="76">
        <f>IF($A41="","",VLOOKUP($A41,Catalog!$A$2:$N$201,11,FALSE))</f>
        <v/>
      </c>
      <c r="L41" s="76">
        <f>IF($A41="","",G41*K41)</f>
        <v/>
      </c>
      <c r="M41" s="76">
        <f>IF($A41="","",G41*VLOOKUP($A41,Catalog!$A$2:$N$201,12,FALSE))</f>
        <v/>
      </c>
    </row>
    <row r="42">
      <c r="A42" s="60">
        <f>IF(Catalog!A42="","",Catalog!A42)</f>
        <v/>
      </c>
      <c r="B42" s="60">
        <f>IF($A42="","",VLOOKUP($A42,Catalog!$A$2:$N$201,3,FALSE))</f>
        <v/>
      </c>
      <c r="C42" s="60">
        <f>IF($A42="","",VLOOKUP($A42,Catalog!$A$2:$N$201,4,FALSE))</f>
        <v/>
      </c>
      <c r="D42" s="56">
        <f>IF($A42="","",SUMIFS(Transactions!$H$2:$H$1001,Transactions!$B$2:$B$1001,$A42,Transactions!$E$2:$E$1001,"Studio"))</f>
        <v/>
      </c>
      <c r="E42" s="56">
        <f>IF($A42="","",SUMIFS(Transactions!$H$2:$H$1001,Transactions!$B$2:$B$1001,$A42,Transactions!$E$2:$E$1001,"Knokke"))</f>
        <v/>
      </c>
      <c r="F42" s="56">
        <f>IF($A42="","",SUMIFS(Transactions!$H$2:$H$1001,Transactions!$B$2:$B$1001,$A42,Transactions!$E$2:$E$1001,"Warehouse"))</f>
        <v/>
      </c>
      <c r="G42" s="56">
        <f>IF($A42="","",SUM(D42:F42))</f>
        <v/>
      </c>
      <c r="H42" s="60">
        <f>IF($A42="","",VLOOKUP($A42,Catalog!$A$2:$N$201,13,FALSE))</f>
        <v/>
      </c>
      <c r="I42" s="60">
        <f>IF($A42="","",IF(G42&lt;=0,"Out of stock",IF(G42&lt;=H42,"Reorder","Healthy")))</f>
        <v/>
      </c>
      <c r="J42" s="60">
        <f>IF($A42="","",VLOOKUP($A42,Catalog!$A$2:$N$201,2,FALSE))</f>
        <v/>
      </c>
      <c r="K42" s="76">
        <f>IF($A42="","",VLOOKUP($A42,Catalog!$A$2:$N$201,11,FALSE))</f>
        <v/>
      </c>
      <c r="L42" s="76">
        <f>IF($A42="","",G42*K42)</f>
        <v/>
      </c>
      <c r="M42" s="76">
        <f>IF($A42="","",G42*VLOOKUP($A42,Catalog!$A$2:$N$201,12,FALSE))</f>
        <v/>
      </c>
    </row>
    <row r="43">
      <c r="A43" s="60">
        <f>IF(Catalog!A43="","",Catalog!A43)</f>
        <v/>
      </c>
      <c r="B43" s="60">
        <f>IF($A43="","",VLOOKUP($A43,Catalog!$A$2:$N$201,3,FALSE))</f>
        <v/>
      </c>
      <c r="C43" s="60">
        <f>IF($A43="","",VLOOKUP($A43,Catalog!$A$2:$N$201,4,FALSE))</f>
        <v/>
      </c>
      <c r="D43" s="56">
        <f>IF($A43="","",SUMIFS(Transactions!$H$2:$H$1001,Transactions!$B$2:$B$1001,$A43,Transactions!$E$2:$E$1001,"Studio"))</f>
        <v/>
      </c>
      <c r="E43" s="56">
        <f>IF($A43="","",SUMIFS(Transactions!$H$2:$H$1001,Transactions!$B$2:$B$1001,$A43,Transactions!$E$2:$E$1001,"Knokke"))</f>
        <v/>
      </c>
      <c r="F43" s="56">
        <f>IF($A43="","",SUMIFS(Transactions!$H$2:$H$1001,Transactions!$B$2:$B$1001,$A43,Transactions!$E$2:$E$1001,"Warehouse"))</f>
        <v/>
      </c>
      <c r="G43" s="56">
        <f>IF($A43="","",SUM(D43:F43))</f>
        <v/>
      </c>
      <c r="H43" s="60">
        <f>IF($A43="","",VLOOKUP($A43,Catalog!$A$2:$N$201,13,FALSE))</f>
        <v/>
      </c>
      <c r="I43" s="60">
        <f>IF($A43="","",IF(G43&lt;=0,"Out of stock",IF(G43&lt;=H43,"Reorder","Healthy")))</f>
        <v/>
      </c>
      <c r="J43" s="60">
        <f>IF($A43="","",VLOOKUP($A43,Catalog!$A$2:$N$201,2,FALSE))</f>
        <v/>
      </c>
      <c r="K43" s="76">
        <f>IF($A43="","",VLOOKUP($A43,Catalog!$A$2:$N$201,11,FALSE))</f>
        <v/>
      </c>
      <c r="L43" s="76">
        <f>IF($A43="","",G43*K43)</f>
        <v/>
      </c>
      <c r="M43" s="76">
        <f>IF($A43="","",G43*VLOOKUP($A43,Catalog!$A$2:$N$201,12,FALSE))</f>
        <v/>
      </c>
    </row>
    <row r="44">
      <c r="A44" s="60">
        <f>IF(Catalog!A44="","",Catalog!A44)</f>
        <v/>
      </c>
      <c r="B44" s="60">
        <f>IF($A44="","",VLOOKUP($A44,Catalog!$A$2:$N$201,3,FALSE))</f>
        <v/>
      </c>
      <c r="C44" s="60">
        <f>IF($A44="","",VLOOKUP($A44,Catalog!$A$2:$N$201,4,FALSE))</f>
        <v/>
      </c>
      <c r="D44" s="56">
        <f>IF($A44="","",SUMIFS(Transactions!$H$2:$H$1001,Transactions!$B$2:$B$1001,$A44,Transactions!$E$2:$E$1001,"Studio"))</f>
        <v/>
      </c>
      <c r="E44" s="56">
        <f>IF($A44="","",SUMIFS(Transactions!$H$2:$H$1001,Transactions!$B$2:$B$1001,$A44,Transactions!$E$2:$E$1001,"Knokke"))</f>
        <v/>
      </c>
      <c r="F44" s="56">
        <f>IF($A44="","",SUMIFS(Transactions!$H$2:$H$1001,Transactions!$B$2:$B$1001,$A44,Transactions!$E$2:$E$1001,"Warehouse"))</f>
        <v/>
      </c>
      <c r="G44" s="56">
        <f>IF($A44="","",SUM(D44:F44))</f>
        <v/>
      </c>
      <c r="H44" s="60">
        <f>IF($A44="","",VLOOKUP($A44,Catalog!$A$2:$N$201,13,FALSE))</f>
        <v/>
      </c>
      <c r="I44" s="60">
        <f>IF($A44="","",IF(G44&lt;=0,"Out of stock",IF(G44&lt;=H44,"Reorder","Healthy")))</f>
        <v/>
      </c>
      <c r="J44" s="60">
        <f>IF($A44="","",VLOOKUP($A44,Catalog!$A$2:$N$201,2,FALSE))</f>
        <v/>
      </c>
      <c r="K44" s="76">
        <f>IF($A44="","",VLOOKUP($A44,Catalog!$A$2:$N$201,11,FALSE))</f>
        <v/>
      </c>
      <c r="L44" s="76">
        <f>IF($A44="","",G44*K44)</f>
        <v/>
      </c>
      <c r="M44" s="76">
        <f>IF($A44="","",G44*VLOOKUP($A44,Catalog!$A$2:$N$201,12,FALSE))</f>
        <v/>
      </c>
    </row>
    <row r="45">
      <c r="A45" s="60">
        <f>IF(Catalog!A45="","",Catalog!A45)</f>
        <v/>
      </c>
      <c r="B45" s="60">
        <f>IF($A45="","",VLOOKUP($A45,Catalog!$A$2:$N$201,3,FALSE))</f>
        <v/>
      </c>
      <c r="C45" s="60">
        <f>IF($A45="","",VLOOKUP($A45,Catalog!$A$2:$N$201,4,FALSE))</f>
        <v/>
      </c>
      <c r="D45" s="56">
        <f>IF($A45="","",SUMIFS(Transactions!$H$2:$H$1001,Transactions!$B$2:$B$1001,$A45,Transactions!$E$2:$E$1001,"Studio"))</f>
        <v/>
      </c>
      <c r="E45" s="56">
        <f>IF($A45="","",SUMIFS(Transactions!$H$2:$H$1001,Transactions!$B$2:$B$1001,$A45,Transactions!$E$2:$E$1001,"Knokke"))</f>
        <v/>
      </c>
      <c r="F45" s="56">
        <f>IF($A45="","",SUMIFS(Transactions!$H$2:$H$1001,Transactions!$B$2:$B$1001,$A45,Transactions!$E$2:$E$1001,"Warehouse"))</f>
        <v/>
      </c>
      <c r="G45" s="56">
        <f>IF($A45="","",SUM(D45:F45))</f>
        <v/>
      </c>
      <c r="H45" s="60">
        <f>IF($A45="","",VLOOKUP($A45,Catalog!$A$2:$N$201,13,FALSE))</f>
        <v/>
      </c>
      <c r="I45" s="60">
        <f>IF($A45="","",IF(G45&lt;=0,"Out of stock",IF(G45&lt;=H45,"Reorder","Healthy")))</f>
        <v/>
      </c>
      <c r="J45" s="60">
        <f>IF($A45="","",VLOOKUP($A45,Catalog!$A$2:$N$201,2,FALSE))</f>
        <v/>
      </c>
      <c r="K45" s="76">
        <f>IF($A45="","",VLOOKUP($A45,Catalog!$A$2:$N$201,11,FALSE))</f>
        <v/>
      </c>
      <c r="L45" s="76">
        <f>IF($A45="","",G45*K45)</f>
        <v/>
      </c>
      <c r="M45" s="76">
        <f>IF($A45="","",G45*VLOOKUP($A45,Catalog!$A$2:$N$201,12,FALSE))</f>
        <v/>
      </c>
    </row>
    <row r="46">
      <c r="A46" s="60">
        <f>IF(Catalog!A46="","",Catalog!A46)</f>
        <v/>
      </c>
      <c r="B46" s="60">
        <f>IF($A46="","",VLOOKUP($A46,Catalog!$A$2:$N$201,3,FALSE))</f>
        <v/>
      </c>
      <c r="C46" s="60">
        <f>IF($A46="","",VLOOKUP($A46,Catalog!$A$2:$N$201,4,FALSE))</f>
        <v/>
      </c>
      <c r="D46" s="56">
        <f>IF($A46="","",SUMIFS(Transactions!$H$2:$H$1001,Transactions!$B$2:$B$1001,$A46,Transactions!$E$2:$E$1001,"Studio"))</f>
        <v/>
      </c>
      <c r="E46" s="56">
        <f>IF($A46="","",SUMIFS(Transactions!$H$2:$H$1001,Transactions!$B$2:$B$1001,$A46,Transactions!$E$2:$E$1001,"Knokke"))</f>
        <v/>
      </c>
      <c r="F46" s="56">
        <f>IF($A46="","",SUMIFS(Transactions!$H$2:$H$1001,Transactions!$B$2:$B$1001,$A46,Transactions!$E$2:$E$1001,"Warehouse"))</f>
        <v/>
      </c>
      <c r="G46" s="56">
        <f>IF($A46="","",SUM(D46:F46))</f>
        <v/>
      </c>
      <c r="H46" s="60">
        <f>IF($A46="","",VLOOKUP($A46,Catalog!$A$2:$N$201,13,FALSE))</f>
        <v/>
      </c>
      <c r="I46" s="60">
        <f>IF($A46="","",IF(G46&lt;=0,"Out of stock",IF(G46&lt;=H46,"Reorder","Healthy")))</f>
        <v/>
      </c>
      <c r="J46" s="60">
        <f>IF($A46="","",VLOOKUP($A46,Catalog!$A$2:$N$201,2,FALSE))</f>
        <v/>
      </c>
      <c r="K46" s="76">
        <f>IF($A46="","",VLOOKUP($A46,Catalog!$A$2:$N$201,11,FALSE))</f>
        <v/>
      </c>
      <c r="L46" s="76">
        <f>IF($A46="","",G46*K46)</f>
        <v/>
      </c>
      <c r="M46" s="76">
        <f>IF($A46="","",G46*VLOOKUP($A46,Catalog!$A$2:$N$201,12,FALSE))</f>
        <v/>
      </c>
    </row>
    <row r="47">
      <c r="A47" s="60">
        <f>IF(Catalog!A47="","",Catalog!A47)</f>
        <v/>
      </c>
      <c r="B47" s="60">
        <f>IF($A47="","",VLOOKUP($A47,Catalog!$A$2:$N$201,3,FALSE))</f>
        <v/>
      </c>
      <c r="C47" s="60">
        <f>IF($A47="","",VLOOKUP($A47,Catalog!$A$2:$N$201,4,FALSE))</f>
        <v/>
      </c>
      <c r="D47" s="56">
        <f>IF($A47="","",SUMIFS(Transactions!$H$2:$H$1001,Transactions!$B$2:$B$1001,$A47,Transactions!$E$2:$E$1001,"Studio"))</f>
        <v/>
      </c>
      <c r="E47" s="56">
        <f>IF($A47="","",SUMIFS(Transactions!$H$2:$H$1001,Transactions!$B$2:$B$1001,$A47,Transactions!$E$2:$E$1001,"Knokke"))</f>
        <v/>
      </c>
      <c r="F47" s="56">
        <f>IF($A47="","",SUMIFS(Transactions!$H$2:$H$1001,Transactions!$B$2:$B$1001,$A47,Transactions!$E$2:$E$1001,"Warehouse"))</f>
        <v/>
      </c>
      <c r="G47" s="56">
        <f>IF($A47="","",SUM(D47:F47))</f>
        <v/>
      </c>
      <c r="H47" s="60">
        <f>IF($A47="","",VLOOKUP($A47,Catalog!$A$2:$N$201,13,FALSE))</f>
        <v/>
      </c>
      <c r="I47" s="60">
        <f>IF($A47="","",IF(G47&lt;=0,"Out of stock",IF(G47&lt;=H47,"Reorder","Healthy")))</f>
        <v/>
      </c>
      <c r="J47" s="60">
        <f>IF($A47="","",VLOOKUP($A47,Catalog!$A$2:$N$201,2,FALSE))</f>
        <v/>
      </c>
      <c r="K47" s="76">
        <f>IF($A47="","",VLOOKUP($A47,Catalog!$A$2:$N$201,11,FALSE))</f>
        <v/>
      </c>
      <c r="L47" s="76">
        <f>IF($A47="","",G47*K47)</f>
        <v/>
      </c>
      <c r="M47" s="76">
        <f>IF($A47="","",G47*VLOOKUP($A47,Catalog!$A$2:$N$201,12,FALSE))</f>
        <v/>
      </c>
    </row>
    <row r="48">
      <c r="A48" s="60">
        <f>IF(Catalog!A48="","",Catalog!A48)</f>
        <v/>
      </c>
      <c r="B48" s="60">
        <f>IF($A48="","",VLOOKUP($A48,Catalog!$A$2:$N$201,3,FALSE))</f>
        <v/>
      </c>
      <c r="C48" s="60">
        <f>IF($A48="","",VLOOKUP($A48,Catalog!$A$2:$N$201,4,FALSE))</f>
        <v/>
      </c>
      <c r="D48" s="56">
        <f>IF($A48="","",SUMIFS(Transactions!$H$2:$H$1001,Transactions!$B$2:$B$1001,$A48,Transactions!$E$2:$E$1001,"Studio"))</f>
        <v/>
      </c>
      <c r="E48" s="56">
        <f>IF($A48="","",SUMIFS(Transactions!$H$2:$H$1001,Transactions!$B$2:$B$1001,$A48,Transactions!$E$2:$E$1001,"Knokke"))</f>
        <v/>
      </c>
      <c r="F48" s="56">
        <f>IF($A48="","",SUMIFS(Transactions!$H$2:$H$1001,Transactions!$B$2:$B$1001,$A48,Transactions!$E$2:$E$1001,"Warehouse"))</f>
        <v/>
      </c>
      <c r="G48" s="56">
        <f>IF($A48="","",SUM(D48:F48))</f>
        <v/>
      </c>
      <c r="H48" s="60">
        <f>IF($A48="","",VLOOKUP($A48,Catalog!$A$2:$N$201,13,FALSE))</f>
        <v/>
      </c>
      <c r="I48" s="60">
        <f>IF($A48="","",IF(G48&lt;=0,"Out of stock",IF(G48&lt;=H48,"Reorder","Healthy")))</f>
        <v/>
      </c>
      <c r="J48" s="60">
        <f>IF($A48="","",VLOOKUP($A48,Catalog!$A$2:$N$201,2,FALSE))</f>
        <v/>
      </c>
      <c r="K48" s="76">
        <f>IF($A48="","",VLOOKUP($A48,Catalog!$A$2:$N$201,11,FALSE))</f>
        <v/>
      </c>
      <c r="L48" s="76">
        <f>IF($A48="","",G48*K48)</f>
        <v/>
      </c>
      <c r="M48" s="76">
        <f>IF($A48="","",G48*VLOOKUP($A48,Catalog!$A$2:$N$201,12,FALSE))</f>
        <v/>
      </c>
    </row>
    <row r="49">
      <c r="A49" s="60">
        <f>IF(Catalog!A49="","",Catalog!A49)</f>
        <v/>
      </c>
      <c r="B49" s="60">
        <f>IF($A49="","",VLOOKUP($A49,Catalog!$A$2:$N$201,3,FALSE))</f>
        <v/>
      </c>
      <c r="C49" s="60">
        <f>IF($A49="","",VLOOKUP($A49,Catalog!$A$2:$N$201,4,FALSE))</f>
        <v/>
      </c>
      <c r="D49" s="56">
        <f>IF($A49="","",SUMIFS(Transactions!$H$2:$H$1001,Transactions!$B$2:$B$1001,$A49,Transactions!$E$2:$E$1001,"Studio"))</f>
        <v/>
      </c>
      <c r="E49" s="56">
        <f>IF($A49="","",SUMIFS(Transactions!$H$2:$H$1001,Transactions!$B$2:$B$1001,$A49,Transactions!$E$2:$E$1001,"Knokke"))</f>
        <v/>
      </c>
      <c r="F49" s="56">
        <f>IF($A49="","",SUMIFS(Transactions!$H$2:$H$1001,Transactions!$B$2:$B$1001,$A49,Transactions!$E$2:$E$1001,"Warehouse"))</f>
        <v/>
      </c>
      <c r="G49" s="56">
        <f>IF($A49="","",SUM(D49:F49))</f>
        <v/>
      </c>
      <c r="H49" s="60">
        <f>IF($A49="","",VLOOKUP($A49,Catalog!$A$2:$N$201,13,FALSE))</f>
        <v/>
      </c>
      <c r="I49" s="60">
        <f>IF($A49="","",IF(G49&lt;=0,"Out of stock",IF(G49&lt;=H49,"Reorder","Healthy")))</f>
        <v/>
      </c>
      <c r="J49" s="60">
        <f>IF($A49="","",VLOOKUP($A49,Catalog!$A$2:$N$201,2,FALSE))</f>
        <v/>
      </c>
      <c r="K49" s="76">
        <f>IF($A49="","",VLOOKUP($A49,Catalog!$A$2:$N$201,11,FALSE))</f>
        <v/>
      </c>
      <c r="L49" s="76">
        <f>IF($A49="","",G49*K49)</f>
        <v/>
      </c>
      <c r="M49" s="76">
        <f>IF($A49="","",G49*VLOOKUP($A49,Catalog!$A$2:$N$201,12,FALSE))</f>
        <v/>
      </c>
    </row>
    <row r="50">
      <c r="A50" s="60">
        <f>IF(Catalog!A50="","",Catalog!A50)</f>
        <v/>
      </c>
      <c r="B50" s="60">
        <f>IF($A50="","",VLOOKUP($A50,Catalog!$A$2:$N$201,3,FALSE))</f>
        <v/>
      </c>
      <c r="C50" s="60">
        <f>IF($A50="","",VLOOKUP($A50,Catalog!$A$2:$N$201,4,FALSE))</f>
        <v/>
      </c>
      <c r="D50" s="56">
        <f>IF($A50="","",SUMIFS(Transactions!$H$2:$H$1001,Transactions!$B$2:$B$1001,$A50,Transactions!$E$2:$E$1001,"Studio"))</f>
        <v/>
      </c>
      <c r="E50" s="56">
        <f>IF($A50="","",SUMIFS(Transactions!$H$2:$H$1001,Transactions!$B$2:$B$1001,$A50,Transactions!$E$2:$E$1001,"Knokke"))</f>
        <v/>
      </c>
      <c r="F50" s="56">
        <f>IF($A50="","",SUMIFS(Transactions!$H$2:$H$1001,Transactions!$B$2:$B$1001,$A50,Transactions!$E$2:$E$1001,"Warehouse"))</f>
        <v/>
      </c>
      <c r="G50" s="56">
        <f>IF($A50="","",SUM(D50:F50))</f>
        <v/>
      </c>
      <c r="H50" s="60">
        <f>IF($A50="","",VLOOKUP($A50,Catalog!$A$2:$N$201,13,FALSE))</f>
        <v/>
      </c>
      <c r="I50" s="60">
        <f>IF($A50="","",IF(G50&lt;=0,"Out of stock",IF(G50&lt;=H50,"Reorder","Healthy")))</f>
        <v/>
      </c>
      <c r="J50" s="60">
        <f>IF($A50="","",VLOOKUP($A50,Catalog!$A$2:$N$201,2,FALSE))</f>
        <v/>
      </c>
      <c r="K50" s="76">
        <f>IF($A50="","",VLOOKUP($A50,Catalog!$A$2:$N$201,11,FALSE))</f>
        <v/>
      </c>
      <c r="L50" s="76">
        <f>IF($A50="","",G50*K50)</f>
        <v/>
      </c>
      <c r="M50" s="76">
        <f>IF($A50="","",G50*VLOOKUP($A50,Catalog!$A$2:$N$201,12,FALSE))</f>
        <v/>
      </c>
    </row>
    <row r="51">
      <c r="A51" s="60">
        <f>IF(Catalog!A51="","",Catalog!A51)</f>
        <v/>
      </c>
      <c r="B51" s="60">
        <f>IF($A51="","",VLOOKUP($A51,Catalog!$A$2:$N$201,3,FALSE))</f>
        <v/>
      </c>
      <c r="C51" s="60">
        <f>IF($A51="","",VLOOKUP($A51,Catalog!$A$2:$N$201,4,FALSE))</f>
        <v/>
      </c>
      <c r="D51" s="56">
        <f>IF($A51="","",SUMIFS(Transactions!$H$2:$H$1001,Transactions!$B$2:$B$1001,$A51,Transactions!$E$2:$E$1001,"Studio"))</f>
        <v/>
      </c>
      <c r="E51" s="56">
        <f>IF($A51="","",SUMIFS(Transactions!$H$2:$H$1001,Transactions!$B$2:$B$1001,$A51,Transactions!$E$2:$E$1001,"Knokke"))</f>
        <v/>
      </c>
      <c r="F51" s="56">
        <f>IF($A51="","",SUMIFS(Transactions!$H$2:$H$1001,Transactions!$B$2:$B$1001,$A51,Transactions!$E$2:$E$1001,"Warehouse"))</f>
        <v/>
      </c>
      <c r="G51" s="56">
        <f>IF($A51="","",SUM(D51:F51))</f>
        <v/>
      </c>
      <c r="H51" s="60">
        <f>IF($A51="","",VLOOKUP($A51,Catalog!$A$2:$N$201,13,FALSE))</f>
        <v/>
      </c>
      <c r="I51" s="60">
        <f>IF($A51="","",IF(G51&lt;=0,"Out of stock",IF(G51&lt;=H51,"Reorder","Healthy")))</f>
        <v/>
      </c>
      <c r="J51" s="60">
        <f>IF($A51="","",VLOOKUP($A51,Catalog!$A$2:$N$201,2,FALSE))</f>
        <v/>
      </c>
      <c r="K51" s="76">
        <f>IF($A51="","",VLOOKUP($A51,Catalog!$A$2:$N$201,11,FALSE))</f>
        <v/>
      </c>
      <c r="L51" s="76">
        <f>IF($A51="","",G51*K51)</f>
        <v/>
      </c>
      <c r="M51" s="76">
        <f>IF($A51="","",G51*VLOOKUP($A51,Catalog!$A$2:$N$201,12,FALSE))</f>
        <v/>
      </c>
    </row>
    <row r="52">
      <c r="A52" s="60">
        <f>IF(Catalog!A52="","",Catalog!A52)</f>
        <v/>
      </c>
      <c r="B52" s="60">
        <f>IF($A52="","",VLOOKUP($A52,Catalog!$A$2:$N$201,3,FALSE))</f>
        <v/>
      </c>
      <c r="C52" s="60">
        <f>IF($A52="","",VLOOKUP($A52,Catalog!$A$2:$N$201,4,FALSE))</f>
        <v/>
      </c>
      <c r="D52" s="56">
        <f>IF($A52="","",SUMIFS(Transactions!$H$2:$H$1001,Transactions!$B$2:$B$1001,$A52,Transactions!$E$2:$E$1001,"Studio"))</f>
        <v/>
      </c>
      <c r="E52" s="56">
        <f>IF($A52="","",SUMIFS(Transactions!$H$2:$H$1001,Transactions!$B$2:$B$1001,$A52,Transactions!$E$2:$E$1001,"Knokke"))</f>
        <v/>
      </c>
      <c r="F52" s="56">
        <f>IF($A52="","",SUMIFS(Transactions!$H$2:$H$1001,Transactions!$B$2:$B$1001,$A52,Transactions!$E$2:$E$1001,"Warehouse"))</f>
        <v/>
      </c>
      <c r="G52" s="56">
        <f>IF($A52="","",SUM(D52:F52))</f>
        <v/>
      </c>
      <c r="H52" s="60">
        <f>IF($A52="","",VLOOKUP($A52,Catalog!$A$2:$N$201,13,FALSE))</f>
        <v/>
      </c>
      <c r="I52" s="60">
        <f>IF($A52="","",IF(G52&lt;=0,"Out of stock",IF(G52&lt;=H52,"Reorder","Healthy")))</f>
        <v/>
      </c>
      <c r="J52" s="60">
        <f>IF($A52="","",VLOOKUP($A52,Catalog!$A$2:$N$201,2,FALSE))</f>
        <v/>
      </c>
      <c r="K52" s="76">
        <f>IF($A52="","",VLOOKUP($A52,Catalog!$A$2:$N$201,11,FALSE))</f>
        <v/>
      </c>
      <c r="L52" s="76">
        <f>IF($A52="","",G52*K52)</f>
        <v/>
      </c>
      <c r="M52" s="76">
        <f>IF($A52="","",G52*VLOOKUP($A52,Catalog!$A$2:$N$201,12,FALSE))</f>
        <v/>
      </c>
    </row>
    <row r="53">
      <c r="A53" s="60">
        <f>IF(Catalog!A53="","",Catalog!A53)</f>
        <v/>
      </c>
      <c r="B53" s="60">
        <f>IF($A53="","",VLOOKUP($A53,Catalog!$A$2:$N$201,3,FALSE))</f>
        <v/>
      </c>
      <c r="C53" s="60">
        <f>IF($A53="","",VLOOKUP($A53,Catalog!$A$2:$N$201,4,FALSE))</f>
        <v/>
      </c>
      <c r="D53" s="56">
        <f>IF($A53="","",SUMIFS(Transactions!$H$2:$H$1001,Transactions!$B$2:$B$1001,$A53,Transactions!$E$2:$E$1001,"Studio"))</f>
        <v/>
      </c>
      <c r="E53" s="56">
        <f>IF($A53="","",SUMIFS(Transactions!$H$2:$H$1001,Transactions!$B$2:$B$1001,$A53,Transactions!$E$2:$E$1001,"Knokke"))</f>
        <v/>
      </c>
      <c r="F53" s="56">
        <f>IF($A53="","",SUMIFS(Transactions!$H$2:$H$1001,Transactions!$B$2:$B$1001,$A53,Transactions!$E$2:$E$1001,"Warehouse"))</f>
        <v/>
      </c>
      <c r="G53" s="56">
        <f>IF($A53="","",SUM(D53:F53))</f>
        <v/>
      </c>
      <c r="H53" s="60">
        <f>IF($A53="","",VLOOKUP($A53,Catalog!$A$2:$N$201,13,FALSE))</f>
        <v/>
      </c>
      <c r="I53" s="60">
        <f>IF($A53="","",IF(G53&lt;=0,"Out of stock",IF(G53&lt;=H53,"Reorder","Healthy")))</f>
        <v/>
      </c>
      <c r="J53" s="60">
        <f>IF($A53="","",VLOOKUP($A53,Catalog!$A$2:$N$201,2,FALSE))</f>
        <v/>
      </c>
      <c r="K53" s="76">
        <f>IF($A53="","",VLOOKUP($A53,Catalog!$A$2:$N$201,11,FALSE))</f>
        <v/>
      </c>
      <c r="L53" s="76">
        <f>IF($A53="","",G53*K53)</f>
        <v/>
      </c>
      <c r="M53" s="76">
        <f>IF($A53="","",G53*VLOOKUP($A53,Catalog!$A$2:$N$201,12,FALSE))</f>
        <v/>
      </c>
    </row>
    <row r="54">
      <c r="A54" s="60">
        <f>IF(Catalog!A54="","",Catalog!A54)</f>
        <v/>
      </c>
      <c r="B54" s="60">
        <f>IF($A54="","",VLOOKUP($A54,Catalog!$A$2:$N$201,3,FALSE))</f>
        <v/>
      </c>
      <c r="C54" s="60">
        <f>IF($A54="","",VLOOKUP($A54,Catalog!$A$2:$N$201,4,FALSE))</f>
        <v/>
      </c>
      <c r="D54" s="56">
        <f>IF($A54="","",SUMIFS(Transactions!$H$2:$H$1001,Transactions!$B$2:$B$1001,$A54,Transactions!$E$2:$E$1001,"Studio"))</f>
        <v/>
      </c>
      <c r="E54" s="56">
        <f>IF($A54="","",SUMIFS(Transactions!$H$2:$H$1001,Transactions!$B$2:$B$1001,$A54,Transactions!$E$2:$E$1001,"Knokke"))</f>
        <v/>
      </c>
      <c r="F54" s="56">
        <f>IF($A54="","",SUMIFS(Transactions!$H$2:$H$1001,Transactions!$B$2:$B$1001,$A54,Transactions!$E$2:$E$1001,"Warehouse"))</f>
        <v/>
      </c>
      <c r="G54" s="56">
        <f>IF($A54="","",SUM(D54:F54))</f>
        <v/>
      </c>
      <c r="H54" s="60">
        <f>IF($A54="","",VLOOKUP($A54,Catalog!$A$2:$N$201,13,FALSE))</f>
        <v/>
      </c>
      <c r="I54" s="60">
        <f>IF($A54="","",IF(G54&lt;=0,"Out of stock",IF(G54&lt;=H54,"Reorder","Healthy")))</f>
        <v/>
      </c>
      <c r="J54" s="60">
        <f>IF($A54="","",VLOOKUP($A54,Catalog!$A$2:$N$201,2,FALSE))</f>
        <v/>
      </c>
      <c r="K54" s="76">
        <f>IF($A54="","",VLOOKUP($A54,Catalog!$A$2:$N$201,11,FALSE))</f>
        <v/>
      </c>
      <c r="L54" s="76">
        <f>IF($A54="","",G54*K54)</f>
        <v/>
      </c>
      <c r="M54" s="76">
        <f>IF($A54="","",G54*VLOOKUP($A54,Catalog!$A$2:$N$201,12,FALSE))</f>
        <v/>
      </c>
    </row>
    <row r="55">
      <c r="A55" s="60">
        <f>IF(Catalog!A55="","",Catalog!A55)</f>
        <v/>
      </c>
      <c r="B55" s="60">
        <f>IF($A55="","",VLOOKUP($A55,Catalog!$A$2:$N$201,3,FALSE))</f>
        <v/>
      </c>
      <c r="C55" s="60">
        <f>IF($A55="","",VLOOKUP($A55,Catalog!$A$2:$N$201,4,FALSE))</f>
        <v/>
      </c>
      <c r="D55" s="56">
        <f>IF($A55="","",SUMIFS(Transactions!$H$2:$H$1001,Transactions!$B$2:$B$1001,$A55,Transactions!$E$2:$E$1001,"Studio"))</f>
        <v/>
      </c>
      <c r="E55" s="56">
        <f>IF($A55="","",SUMIFS(Transactions!$H$2:$H$1001,Transactions!$B$2:$B$1001,$A55,Transactions!$E$2:$E$1001,"Knokke"))</f>
        <v/>
      </c>
      <c r="F55" s="56">
        <f>IF($A55="","",SUMIFS(Transactions!$H$2:$H$1001,Transactions!$B$2:$B$1001,$A55,Transactions!$E$2:$E$1001,"Warehouse"))</f>
        <v/>
      </c>
      <c r="G55" s="56">
        <f>IF($A55="","",SUM(D55:F55))</f>
        <v/>
      </c>
      <c r="H55" s="60">
        <f>IF($A55="","",VLOOKUP($A55,Catalog!$A$2:$N$201,13,FALSE))</f>
        <v/>
      </c>
      <c r="I55" s="60">
        <f>IF($A55="","",IF(G55&lt;=0,"Out of stock",IF(G55&lt;=H55,"Reorder","Healthy")))</f>
        <v/>
      </c>
      <c r="J55" s="60">
        <f>IF($A55="","",VLOOKUP($A55,Catalog!$A$2:$N$201,2,FALSE))</f>
        <v/>
      </c>
      <c r="K55" s="76">
        <f>IF($A55="","",VLOOKUP($A55,Catalog!$A$2:$N$201,11,FALSE))</f>
        <v/>
      </c>
      <c r="L55" s="76">
        <f>IF($A55="","",G55*K55)</f>
        <v/>
      </c>
      <c r="M55" s="76">
        <f>IF($A55="","",G55*VLOOKUP($A55,Catalog!$A$2:$N$201,12,FALSE))</f>
        <v/>
      </c>
    </row>
    <row r="56">
      <c r="A56" s="60">
        <f>IF(Catalog!A56="","",Catalog!A56)</f>
        <v/>
      </c>
      <c r="B56" s="60">
        <f>IF($A56="","",VLOOKUP($A56,Catalog!$A$2:$N$201,3,FALSE))</f>
        <v/>
      </c>
      <c r="C56" s="60">
        <f>IF($A56="","",VLOOKUP($A56,Catalog!$A$2:$N$201,4,FALSE))</f>
        <v/>
      </c>
      <c r="D56" s="56">
        <f>IF($A56="","",SUMIFS(Transactions!$H$2:$H$1001,Transactions!$B$2:$B$1001,$A56,Transactions!$E$2:$E$1001,"Studio"))</f>
        <v/>
      </c>
      <c r="E56" s="56">
        <f>IF($A56="","",SUMIFS(Transactions!$H$2:$H$1001,Transactions!$B$2:$B$1001,$A56,Transactions!$E$2:$E$1001,"Knokke"))</f>
        <v/>
      </c>
      <c r="F56" s="56">
        <f>IF($A56="","",SUMIFS(Transactions!$H$2:$H$1001,Transactions!$B$2:$B$1001,$A56,Transactions!$E$2:$E$1001,"Warehouse"))</f>
        <v/>
      </c>
      <c r="G56" s="56">
        <f>IF($A56="","",SUM(D56:F56))</f>
        <v/>
      </c>
      <c r="H56" s="60">
        <f>IF($A56="","",VLOOKUP($A56,Catalog!$A$2:$N$201,13,FALSE))</f>
        <v/>
      </c>
      <c r="I56" s="60">
        <f>IF($A56="","",IF(G56&lt;=0,"Out of stock",IF(G56&lt;=H56,"Reorder","Healthy")))</f>
        <v/>
      </c>
      <c r="J56" s="60">
        <f>IF($A56="","",VLOOKUP($A56,Catalog!$A$2:$N$201,2,FALSE))</f>
        <v/>
      </c>
      <c r="K56" s="76">
        <f>IF($A56="","",VLOOKUP($A56,Catalog!$A$2:$N$201,11,FALSE))</f>
        <v/>
      </c>
      <c r="L56" s="76">
        <f>IF($A56="","",G56*K56)</f>
        <v/>
      </c>
      <c r="M56" s="76">
        <f>IF($A56="","",G56*VLOOKUP($A56,Catalog!$A$2:$N$201,12,FALSE))</f>
        <v/>
      </c>
    </row>
    <row r="57">
      <c r="A57" s="60">
        <f>IF(Catalog!A57="","",Catalog!A57)</f>
        <v/>
      </c>
      <c r="B57" s="60">
        <f>IF($A57="","",VLOOKUP($A57,Catalog!$A$2:$N$201,3,FALSE))</f>
        <v/>
      </c>
      <c r="C57" s="60">
        <f>IF($A57="","",VLOOKUP($A57,Catalog!$A$2:$N$201,4,FALSE))</f>
        <v/>
      </c>
      <c r="D57" s="56">
        <f>IF($A57="","",SUMIFS(Transactions!$H$2:$H$1001,Transactions!$B$2:$B$1001,$A57,Transactions!$E$2:$E$1001,"Studio"))</f>
        <v/>
      </c>
      <c r="E57" s="56">
        <f>IF($A57="","",SUMIFS(Transactions!$H$2:$H$1001,Transactions!$B$2:$B$1001,$A57,Transactions!$E$2:$E$1001,"Knokke"))</f>
        <v/>
      </c>
      <c r="F57" s="56">
        <f>IF($A57="","",SUMIFS(Transactions!$H$2:$H$1001,Transactions!$B$2:$B$1001,$A57,Transactions!$E$2:$E$1001,"Warehouse"))</f>
        <v/>
      </c>
      <c r="G57" s="56">
        <f>IF($A57="","",SUM(D57:F57))</f>
        <v/>
      </c>
      <c r="H57" s="60">
        <f>IF($A57="","",VLOOKUP($A57,Catalog!$A$2:$N$201,13,FALSE))</f>
        <v/>
      </c>
      <c r="I57" s="60">
        <f>IF($A57="","",IF(G57&lt;=0,"Out of stock",IF(G57&lt;=H57,"Reorder","Healthy")))</f>
        <v/>
      </c>
      <c r="J57" s="60">
        <f>IF($A57="","",VLOOKUP($A57,Catalog!$A$2:$N$201,2,FALSE))</f>
        <v/>
      </c>
      <c r="K57" s="76">
        <f>IF($A57="","",VLOOKUP($A57,Catalog!$A$2:$N$201,11,FALSE))</f>
        <v/>
      </c>
      <c r="L57" s="76">
        <f>IF($A57="","",G57*K57)</f>
        <v/>
      </c>
      <c r="M57" s="76">
        <f>IF($A57="","",G57*VLOOKUP($A57,Catalog!$A$2:$N$201,12,FALSE))</f>
        <v/>
      </c>
    </row>
    <row r="58">
      <c r="A58" s="60">
        <f>IF(Catalog!A58="","",Catalog!A58)</f>
        <v/>
      </c>
      <c r="B58" s="60">
        <f>IF($A58="","",VLOOKUP($A58,Catalog!$A$2:$N$201,3,FALSE))</f>
        <v/>
      </c>
      <c r="C58" s="60">
        <f>IF($A58="","",VLOOKUP($A58,Catalog!$A$2:$N$201,4,FALSE))</f>
        <v/>
      </c>
      <c r="D58" s="56">
        <f>IF($A58="","",SUMIFS(Transactions!$H$2:$H$1001,Transactions!$B$2:$B$1001,$A58,Transactions!$E$2:$E$1001,"Studio"))</f>
        <v/>
      </c>
      <c r="E58" s="56">
        <f>IF($A58="","",SUMIFS(Transactions!$H$2:$H$1001,Transactions!$B$2:$B$1001,$A58,Transactions!$E$2:$E$1001,"Knokke"))</f>
        <v/>
      </c>
      <c r="F58" s="56">
        <f>IF($A58="","",SUMIFS(Transactions!$H$2:$H$1001,Transactions!$B$2:$B$1001,$A58,Transactions!$E$2:$E$1001,"Warehouse"))</f>
        <v/>
      </c>
      <c r="G58" s="56">
        <f>IF($A58="","",SUM(D58:F58))</f>
        <v/>
      </c>
      <c r="H58" s="60">
        <f>IF($A58="","",VLOOKUP($A58,Catalog!$A$2:$N$201,13,FALSE))</f>
        <v/>
      </c>
      <c r="I58" s="60">
        <f>IF($A58="","",IF(G58&lt;=0,"Out of stock",IF(G58&lt;=H58,"Reorder","Healthy")))</f>
        <v/>
      </c>
      <c r="J58" s="60">
        <f>IF($A58="","",VLOOKUP($A58,Catalog!$A$2:$N$201,2,FALSE))</f>
        <v/>
      </c>
      <c r="K58" s="76">
        <f>IF($A58="","",VLOOKUP($A58,Catalog!$A$2:$N$201,11,FALSE))</f>
        <v/>
      </c>
      <c r="L58" s="76">
        <f>IF($A58="","",G58*K58)</f>
        <v/>
      </c>
      <c r="M58" s="76">
        <f>IF($A58="","",G58*VLOOKUP($A58,Catalog!$A$2:$N$201,12,FALSE))</f>
        <v/>
      </c>
    </row>
    <row r="59">
      <c r="A59" s="60">
        <f>IF(Catalog!A59="","",Catalog!A59)</f>
        <v/>
      </c>
      <c r="B59" s="60">
        <f>IF($A59="","",VLOOKUP($A59,Catalog!$A$2:$N$201,3,FALSE))</f>
        <v/>
      </c>
      <c r="C59" s="60">
        <f>IF($A59="","",VLOOKUP($A59,Catalog!$A$2:$N$201,4,FALSE))</f>
        <v/>
      </c>
      <c r="D59" s="56">
        <f>IF($A59="","",SUMIFS(Transactions!$H$2:$H$1001,Transactions!$B$2:$B$1001,$A59,Transactions!$E$2:$E$1001,"Studio"))</f>
        <v/>
      </c>
      <c r="E59" s="56">
        <f>IF($A59="","",SUMIFS(Transactions!$H$2:$H$1001,Transactions!$B$2:$B$1001,$A59,Transactions!$E$2:$E$1001,"Knokke"))</f>
        <v/>
      </c>
      <c r="F59" s="56">
        <f>IF($A59="","",SUMIFS(Transactions!$H$2:$H$1001,Transactions!$B$2:$B$1001,$A59,Transactions!$E$2:$E$1001,"Warehouse"))</f>
        <v/>
      </c>
      <c r="G59" s="56">
        <f>IF($A59="","",SUM(D59:F59))</f>
        <v/>
      </c>
      <c r="H59" s="60">
        <f>IF($A59="","",VLOOKUP($A59,Catalog!$A$2:$N$201,13,FALSE))</f>
        <v/>
      </c>
      <c r="I59" s="60">
        <f>IF($A59="","",IF(G59&lt;=0,"Out of stock",IF(G59&lt;=H59,"Reorder","Healthy")))</f>
        <v/>
      </c>
      <c r="J59" s="60">
        <f>IF($A59="","",VLOOKUP($A59,Catalog!$A$2:$N$201,2,FALSE))</f>
        <v/>
      </c>
      <c r="K59" s="76">
        <f>IF($A59="","",VLOOKUP($A59,Catalog!$A$2:$N$201,11,FALSE))</f>
        <v/>
      </c>
      <c r="L59" s="76">
        <f>IF($A59="","",G59*K59)</f>
        <v/>
      </c>
      <c r="M59" s="76">
        <f>IF($A59="","",G59*VLOOKUP($A59,Catalog!$A$2:$N$201,12,FALSE))</f>
        <v/>
      </c>
    </row>
    <row r="60">
      <c r="A60" s="60">
        <f>IF(Catalog!A60="","",Catalog!A60)</f>
        <v/>
      </c>
      <c r="B60" s="60">
        <f>IF($A60="","",VLOOKUP($A60,Catalog!$A$2:$N$201,3,FALSE))</f>
        <v/>
      </c>
      <c r="C60" s="60">
        <f>IF($A60="","",VLOOKUP($A60,Catalog!$A$2:$N$201,4,FALSE))</f>
        <v/>
      </c>
      <c r="D60" s="56">
        <f>IF($A60="","",SUMIFS(Transactions!$H$2:$H$1001,Transactions!$B$2:$B$1001,$A60,Transactions!$E$2:$E$1001,"Studio"))</f>
        <v/>
      </c>
      <c r="E60" s="56">
        <f>IF($A60="","",SUMIFS(Transactions!$H$2:$H$1001,Transactions!$B$2:$B$1001,$A60,Transactions!$E$2:$E$1001,"Knokke"))</f>
        <v/>
      </c>
      <c r="F60" s="56">
        <f>IF($A60="","",SUMIFS(Transactions!$H$2:$H$1001,Transactions!$B$2:$B$1001,$A60,Transactions!$E$2:$E$1001,"Warehouse"))</f>
        <v/>
      </c>
      <c r="G60" s="56">
        <f>IF($A60="","",SUM(D60:F60))</f>
        <v/>
      </c>
      <c r="H60" s="60">
        <f>IF($A60="","",VLOOKUP($A60,Catalog!$A$2:$N$201,13,FALSE))</f>
        <v/>
      </c>
      <c r="I60" s="60">
        <f>IF($A60="","",IF(G60&lt;=0,"Out of stock",IF(G60&lt;=H60,"Reorder","Healthy")))</f>
        <v/>
      </c>
      <c r="J60" s="60">
        <f>IF($A60="","",VLOOKUP($A60,Catalog!$A$2:$N$201,2,FALSE))</f>
        <v/>
      </c>
      <c r="K60" s="76">
        <f>IF($A60="","",VLOOKUP($A60,Catalog!$A$2:$N$201,11,FALSE))</f>
        <v/>
      </c>
      <c r="L60" s="76">
        <f>IF($A60="","",G60*K60)</f>
        <v/>
      </c>
      <c r="M60" s="76">
        <f>IF($A60="","",G60*VLOOKUP($A60,Catalog!$A$2:$N$201,12,FALSE))</f>
        <v/>
      </c>
    </row>
    <row r="61">
      <c r="A61" s="60">
        <f>IF(Catalog!A61="","",Catalog!A61)</f>
        <v/>
      </c>
      <c r="B61" s="60">
        <f>IF($A61="","",VLOOKUP($A61,Catalog!$A$2:$N$201,3,FALSE))</f>
        <v/>
      </c>
      <c r="C61" s="60">
        <f>IF($A61="","",VLOOKUP($A61,Catalog!$A$2:$N$201,4,FALSE))</f>
        <v/>
      </c>
      <c r="D61" s="56">
        <f>IF($A61="","",SUMIFS(Transactions!$H$2:$H$1001,Transactions!$B$2:$B$1001,$A61,Transactions!$E$2:$E$1001,"Studio"))</f>
        <v/>
      </c>
      <c r="E61" s="56">
        <f>IF($A61="","",SUMIFS(Transactions!$H$2:$H$1001,Transactions!$B$2:$B$1001,$A61,Transactions!$E$2:$E$1001,"Knokke"))</f>
        <v/>
      </c>
      <c r="F61" s="56">
        <f>IF($A61="","",SUMIFS(Transactions!$H$2:$H$1001,Transactions!$B$2:$B$1001,$A61,Transactions!$E$2:$E$1001,"Warehouse"))</f>
        <v/>
      </c>
      <c r="G61" s="56">
        <f>IF($A61="","",SUM(D61:F61))</f>
        <v/>
      </c>
      <c r="H61" s="60">
        <f>IF($A61="","",VLOOKUP($A61,Catalog!$A$2:$N$201,13,FALSE))</f>
        <v/>
      </c>
      <c r="I61" s="60">
        <f>IF($A61="","",IF(G61&lt;=0,"Out of stock",IF(G61&lt;=H61,"Reorder","Healthy")))</f>
        <v/>
      </c>
      <c r="J61" s="60">
        <f>IF($A61="","",VLOOKUP($A61,Catalog!$A$2:$N$201,2,FALSE))</f>
        <v/>
      </c>
      <c r="K61" s="76">
        <f>IF($A61="","",VLOOKUP($A61,Catalog!$A$2:$N$201,11,FALSE))</f>
        <v/>
      </c>
      <c r="L61" s="76">
        <f>IF($A61="","",G61*K61)</f>
        <v/>
      </c>
      <c r="M61" s="76">
        <f>IF($A61="","",G61*VLOOKUP($A61,Catalog!$A$2:$N$201,12,FALSE))</f>
        <v/>
      </c>
    </row>
    <row r="62">
      <c r="A62" s="60">
        <f>IF(Catalog!A62="","",Catalog!A62)</f>
        <v/>
      </c>
      <c r="B62" s="60">
        <f>IF($A62="","",VLOOKUP($A62,Catalog!$A$2:$N$201,3,FALSE))</f>
        <v/>
      </c>
      <c r="C62" s="60">
        <f>IF($A62="","",VLOOKUP($A62,Catalog!$A$2:$N$201,4,FALSE))</f>
        <v/>
      </c>
      <c r="D62" s="56">
        <f>IF($A62="","",SUMIFS(Transactions!$H$2:$H$1001,Transactions!$B$2:$B$1001,$A62,Transactions!$E$2:$E$1001,"Studio"))</f>
        <v/>
      </c>
      <c r="E62" s="56">
        <f>IF($A62="","",SUMIFS(Transactions!$H$2:$H$1001,Transactions!$B$2:$B$1001,$A62,Transactions!$E$2:$E$1001,"Knokke"))</f>
        <v/>
      </c>
      <c r="F62" s="56">
        <f>IF($A62="","",SUMIFS(Transactions!$H$2:$H$1001,Transactions!$B$2:$B$1001,$A62,Transactions!$E$2:$E$1001,"Warehouse"))</f>
        <v/>
      </c>
      <c r="G62" s="56">
        <f>IF($A62="","",SUM(D62:F62))</f>
        <v/>
      </c>
      <c r="H62" s="60">
        <f>IF($A62="","",VLOOKUP($A62,Catalog!$A$2:$N$201,13,FALSE))</f>
        <v/>
      </c>
      <c r="I62" s="60">
        <f>IF($A62="","",IF(G62&lt;=0,"Out of stock",IF(G62&lt;=H62,"Reorder","Healthy")))</f>
        <v/>
      </c>
      <c r="J62" s="60">
        <f>IF($A62="","",VLOOKUP($A62,Catalog!$A$2:$N$201,2,FALSE))</f>
        <v/>
      </c>
      <c r="K62" s="76">
        <f>IF($A62="","",VLOOKUP($A62,Catalog!$A$2:$N$201,11,FALSE))</f>
        <v/>
      </c>
      <c r="L62" s="76">
        <f>IF($A62="","",G62*K62)</f>
        <v/>
      </c>
      <c r="M62" s="76">
        <f>IF($A62="","",G62*VLOOKUP($A62,Catalog!$A$2:$N$201,12,FALSE))</f>
        <v/>
      </c>
    </row>
    <row r="63">
      <c r="A63" s="60">
        <f>IF(Catalog!A63="","",Catalog!A63)</f>
        <v/>
      </c>
      <c r="B63" s="60">
        <f>IF($A63="","",VLOOKUP($A63,Catalog!$A$2:$N$201,3,FALSE))</f>
        <v/>
      </c>
      <c r="C63" s="60">
        <f>IF($A63="","",VLOOKUP($A63,Catalog!$A$2:$N$201,4,FALSE))</f>
        <v/>
      </c>
      <c r="D63" s="56">
        <f>IF($A63="","",SUMIFS(Transactions!$H$2:$H$1001,Transactions!$B$2:$B$1001,$A63,Transactions!$E$2:$E$1001,"Studio"))</f>
        <v/>
      </c>
      <c r="E63" s="56">
        <f>IF($A63="","",SUMIFS(Transactions!$H$2:$H$1001,Transactions!$B$2:$B$1001,$A63,Transactions!$E$2:$E$1001,"Knokke"))</f>
        <v/>
      </c>
      <c r="F63" s="56">
        <f>IF($A63="","",SUMIFS(Transactions!$H$2:$H$1001,Transactions!$B$2:$B$1001,$A63,Transactions!$E$2:$E$1001,"Warehouse"))</f>
        <v/>
      </c>
      <c r="G63" s="56">
        <f>IF($A63="","",SUM(D63:F63))</f>
        <v/>
      </c>
      <c r="H63" s="60">
        <f>IF($A63="","",VLOOKUP($A63,Catalog!$A$2:$N$201,13,FALSE))</f>
        <v/>
      </c>
      <c r="I63" s="60">
        <f>IF($A63="","",IF(G63&lt;=0,"Out of stock",IF(G63&lt;=H63,"Reorder","Healthy")))</f>
        <v/>
      </c>
      <c r="J63" s="60">
        <f>IF($A63="","",VLOOKUP($A63,Catalog!$A$2:$N$201,2,FALSE))</f>
        <v/>
      </c>
      <c r="K63" s="76">
        <f>IF($A63="","",VLOOKUP($A63,Catalog!$A$2:$N$201,11,FALSE))</f>
        <v/>
      </c>
      <c r="L63" s="76">
        <f>IF($A63="","",G63*K63)</f>
        <v/>
      </c>
      <c r="M63" s="76">
        <f>IF($A63="","",G63*VLOOKUP($A63,Catalog!$A$2:$N$201,12,FALSE))</f>
        <v/>
      </c>
    </row>
    <row r="64">
      <c r="A64" s="60">
        <f>IF(Catalog!A64="","",Catalog!A64)</f>
        <v/>
      </c>
      <c r="B64" s="60">
        <f>IF($A64="","",VLOOKUP($A64,Catalog!$A$2:$N$201,3,FALSE))</f>
        <v/>
      </c>
      <c r="C64" s="60">
        <f>IF($A64="","",VLOOKUP($A64,Catalog!$A$2:$N$201,4,FALSE))</f>
        <v/>
      </c>
      <c r="D64" s="56">
        <f>IF($A64="","",SUMIFS(Transactions!$H$2:$H$1001,Transactions!$B$2:$B$1001,$A64,Transactions!$E$2:$E$1001,"Studio"))</f>
        <v/>
      </c>
      <c r="E64" s="56">
        <f>IF($A64="","",SUMIFS(Transactions!$H$2:$H$1001,Transactions!$B$2:$B$1001,$A64,Transactions!$E$2:$E$1001,"Knokke"))</f>
        <v/>
      </c>
      <c r="F64" s="56">
        <f>IF($A64="","",SUMIFS(Transactions!$H$2:$H$1001,Transactions!$B$2:$B$1001,$A64,Transactions!$E$2:$E$1001,"Warehouse"))</f>
        <v/>
      </c>
      <c r="G64" s="56">
        <f>IF($A64="","",SUM(D64:F64))</f>
        <v/>
      </c>
      <c r="H64" s="60">
        <f>IF($A64="","",VLOOKUP($A64,Catalog!$A$2:$N$201,13,FALSE))</f>
        <v/>
      </c>
      <c r="I64" s="60">
        <f>IF($A64="","",IF(G64&lt;=0,"Out of stock",IF(G64&lt;=H64,"Reorder","Healthy")))</f>
        <v/>
      </c>
      <c r="J64" s="60">
        <f>IF($A64="","",VLOOKUP($A64,Catalog!$A$2:$N$201,2,FALSE))</f>
        <v/>
      </c>
      <c r="K64" s="76">
        <f>IF($A64="","",VLOOKUP($A64,Catalog!$A$2:$N$201,11,FALSE))</f>
        <v/>
      </c>
      <c r="L64" s="76">
        <f>IF($A64="","",G64*K64)</f>
        <v/>
      </c>
      <c r="M64" s="76">
        <f>IF($A64="","",G64*VLOOKUP($A64,Catalog!$A$2:$N$201,12,FALSE))</f>
        <v/>
      </c>
    </row>
    <row r="65">
      <c r="A65" s="60">
        <f>IF(Catalog!A65="","",Catalog!A65)</f>
        <v/>
      </c>
      <c r="B65" s="60">
        <f>IF($A65="","",VLOOKUP($A65,Catalog!$A$2:$N$201,3,FALSE))</f>
        <v/>
      </c>
      <c r="C65" s="60">
        <f>IF($A65="","",VLOOKUP($A65,Catalog!$A$2:$N$201,4,FALSE))</f>
        <v/>
      </c>
      <c r="D65" s="56">
        <f>IF($A65="","",SUMIFS(Transactions!$H$2:$H$1001,Transactions!$B$2:$B$1001,$A65,Transactions!$E$2:$E$1001,"Studio"))</f>
        <v/>
      </c>
      <c r="E65" s="56">
        <f>IF($A65="","",SUMIFS(Transactions!$H$2:$H$1001,Transactions!$B$2:$B$1001,$A65,Transactions!$E$2:$E$1001,"Knokke"))</f>
        <v/>
      </c>
      <c r="F65" s="56">
        <f>IF($A65="","",SUMIFS(Transactions!$H$2:$H$1001,Transactions!$B$2:$B$1001,$A65,Transactions!$E$2:$E$1001,"Warehouse"))</f>
        <v/>
      </c>
      <c r="G65" s="56">
        <f>IF($A65="","",SUM(D65:F65))</f>
        <v/>
      </c>
      <c r="H65" s="60">
        <f>IF($A65="","",VLOOKUP($A65,Catalog!$A$2:$N$201,13,FALSE))</f>
        <v/>
      </c>
      <c r="I65" s="60">
        <f>IF($A65="","",IF(G65&lt;=0,"Out of stock",IF(G65&lt;=H65,"Reorder","Healthy")))</f>
        <v/>
      </c>
      <c r="J65" s="60">
        <f>IF($A65="","",VLOOKUP($A65,Catalog!$A$2:$N$201,2,FALSE))</f>
        <v/>
      </c>
      <c r="K65" s="76">
        <f>IF($A65="","",VLOOKUP($A65,Catalog!$A$2:$N$201,11,FALSE))</f>
        <v/>
      </c>
      <c r="L65" s="76">
        <f>IF($A65="","",G65*K65)</f>
        <v/>
      </c>
      <c r="M65" s="76">
        <f>IF($A65="","",G65*VLOOKUP($A65,Catalog!$A$2:$N$201,12,FALSE))</f>
        <v/>
      </c>
    </row>
    <row r="66">
      <c r="A66" s="60">
        <f>IF(Catalog!A66="","",Catalog!A66)</f>
        <v/>
      </c>
      <c r="B66" s="60">
        <f>IF($A66="","",VLOOKUP($A66,Catalog!$A$2:$N$201,3,FALSE))</f>
        <v/>
      </c>
      <c r="C66" s="60">
        <f>IF($A66="","",VLOOKUP($A66,Catalog!$A$2:$N$201,4,FALSE))</f>
        <v/>
      </c>
      <c r="D66" s="56">
        <f>IF($A66="","",SUMIFS(Transactions!$H$2:$H$1001,Transactions!$B$2:$B$1001,$A66,Transactions!$E$2:$E$1001,"Studio"))</f>
        <v/>
      </c>
      <c r="E66" s="56">
        <f>IF($A66="","",SUMIFS(Transactions!$H$2:$H$1001,Transactions!$B$2:$B$1001,$A66,Transactions!$E$2:$E$1001,"Knokke"))</f>
        <v/>
      </c>
      <c r="F66" s="56">
        <f>IF($A66="","",SUMIFS(Transactions!$H$2:$H$1001,Transactions!$B$2:$B$1001,$A66,Transactions!$E$2:$E$1001,"Warehouse"))</f>
        <v/>
      </c>
      <c r="G66" s="56">
        <f>IF($A66="","",SUM(D66:F66))</f>
        <v/>
      </c>
      <c r="H66" s="60">
        <f>IF($A66="","",VLOOKUP($A66,Catalog!$A$2:$N$201,13,FALSE))</f>
        <v/>
      </c>
      <c r="I66" s="60">
        <f>IF($A66="","",IF(G66&lt;=0,"Out of stock",IF(G66&lt;=H66,"Reorder","Healthy")))</f>
        <v/>
      </c>
      <c r="J66" s="60">
        <f>IF($A66="","",VLOOKUP($A66,Catalog!$A$2:$N$201,2,FALSE))</f>
        <v/>
      </c>
      <c r="K66" s="76">
        <f>IF($A66="","",VLOOKUP($A66,Catalog!$A$2:$N$201,11,FALSE))</f>
        <v/>
      </c>
      <c r="L66" s="76">
        <f>IF($A66="","",G66*K66)</f>
        <v/>
      </c>
      <c r="M66" s="76">
        <f>IF($A66="","",G66*VLOOKUP($A66,Catalog!$A$2:$N$201,12,FALSE))</f>
        <v/>
      </c>
    </row>
    <row r="67">
      <c r="A67" s="60">
        <f>IF(Catalog!A67="","",Catalog!A67)</f>
        <v/>
      </c>
      <c r="B67" s="60">
        <f>IF($A67="","",VLOOKUP($A67,Catalog!$A$2:$N$201,3,FALSE))</f>
        <v/>
      </c>
      <c r="C67" s="60">
        <f>IF($A67="","",VLOOKUP($A67,Catalog!$A$2:$N$201,4,FALSE))</f>
        <v/>
      </c>
      <c r="D67" s="56">
        <f>IF($A67="","",SUMIFS(Transactions!$H$2:$H$1001,Transactions!$B$2:$B$1001,$A67,Transactions!$E$2:$E$1001,"Studio"))</f>
        <v/>
      </c>
      <c r="E67" s="56">
        <f>IF($A67="","",SUMIFS(Transactions!$H$2:$H$1001,Transactions!$B$2:$B$1001,$A67,Transactions!$E$2:$E$1001,"Knokke"))</f>
        <v/>
      </c>
      <c r="F67" s="56">
        <f>IF($A67="","",SUMIFS(Transactions!$H$2:$H$1001,Transactions!$B$2:$B$1001,$A67,Transactions!$E$2:$E$1001,"Warehouse"))</f>
        <v/>
      </c>
      <c r="G67" s="56">
        <f>IF($A67="","",SUM(D67:F67))</f>
        <v/>
      </c>
      <c r="H67" s="60">
        <f>IF($A67="","",VLOOKUP($A67,Catalog!$A$2:$N$201,13,FALSE))</f>
        <v/>
      </c>
      <c r="I67" s="60">
        <f>IF($A67="","",IF(G67&lt;=0,"Out of stock",IF(G67&lt;=H67,"Reorder","Healthy")))</f>
        <v/>
      </c>
      <c r="J67" s="60">
        <f>IF($A67="","",VLOOKUP($A67,Catalog!$A$2:$N$201,2,FALSE))</f>
        <v/>
      </c>
      <c r="K67" s="76">
        <f>IF($A67="","",VLOOKUP($A67,Catalog!$A$2:$N$201,11,FALSE))</f>
        <v/>
      </c>
      <c r="L67" s="76">
        <f>IF($A67="","",G67*K67)</f>
        <v/>
      </c>
      <c r="M67" s="76">
        <f>IF($A67="","",G67*VLOOKUP($A67,Catalog!$A$2:$N$201,12,FALSE))</f>
        <v/>
      </c>
    </row>
    <row r="68">
      <c r="A68" s="60">
        <f>IF(Catalog!A68="","",Catalog!A68)</f>
        <v/>
      </c>
      <c r="B68" s="60">
        <f>IF($A68="","",VLOOKUP($A68,Catalog!$A$2:$N$201,3,FALSE))</f>
        <v/>
      </c>
      <c r="C68" s="60">
        <f>IF($A68="","",VLOOKUP($A68,Catalog!$A$2:$N$201,4,FALSE))</f>
        <v/>
      </c>
      <c r="D68" s="56">
        <f>IF($A68="","",SUMIFS(Transactions!$H$2:$H$1001,Transactions!$B$2:$B$1001,$A68,Transactions!$E$2:$E$1001,"Studio"))</f>
        <v/>
      </c>
      <c r="E68" s="56">
        <f>IF($A68="","",SUMIFS(Transactions!$H$2:$H$1001,Transactions!$B$2:$B$1001,$A68,Transactions!$E$2:$E$1001,"Knokke"))</f>
        <v/>
      </c>
      <c r="F68" s="56">
        <f>IF($A68="","",SUMIFS(Transactions!$H$2:$H$1001,Transactions!$B$2:$B$1001,$A68,Transactions!$E$2:$E$1001,"Warehouse"))</f>
        <v/>
      </c>
      <c r="G68" s="56">
        <f>IF($A68="","",SUM(D68:F68))</f>
        <v/>
      </c>
      <c r="H68" s="60">
        <f>IF($A68="","",VLOOKUP($A68,Catalog!$A$2:$N$201,13,FALSE))</f>
        <v/>
      </c>
      <c r="I68" s="60">
        <f>IF($A68="","",IF(G68&lt;=0,"Out of stock",IF(G68&lt;=H68,"Reorder","Healthy")))</f>
        <v/>
      </c>
      <c r="J68" s="60">
        <f>IF($A68="","",VLOOKUP($A68,Catalog!$A$2:$N$201,2,FALSE))</f>
        <v/>
      </c>
      <c r="K68" s="76">
        <f>IF($A68="","",VLOOKUP($A68,Catalog!$A$2:$N$201,11,FALSE))</f>
        <v/>
      </c>
      <c r="L68" s="76">
        <f>IF($A68="","",G68*K68)</f>
        <v/>
      </c>
      <c r="M68" s="76">
        <f>IF($A68="","",G68*VLOOKUP($A68,Catalog!$A$2:$N$201,12,FALSE))</f>
        <v/>
      </c>
    </row>
    <row r="69">
      <c r="A69" s="60">
        <f>IF(Catalog!A69="","",Catalog!A69)</f>
        <v/>
      </c>
      <c r="B69" s="60">
        <f>IF($A69="","",VLOOKUP($A69,Catalog!$A$2:$N$201,3,FALSE))</f>
        <v/>
      </c>
      <c r="C69" s="60">
        <f>IF($A69="","",VLOOKUP($A69,Catalog!$A$2:$N$201,4,FALSE))</f>
        <v/>
      </c>
      <c r="D69" s="56">
        <f>IF($A69="","",SUMIFS(Transactions!$H$2:$H$1001,Transactions!$B$2:$B$1001,$A69,Transactions!$E$2:$E$1001,"Studio"))</f>
        <v/>
      </c>
      <c r="E69" s="56">
        <f>IF($A69="","",SUMIFS(Transactions!$H$2:$H$1001,Transactions!$B$2:$B$1001,$A69,Transactions!$E$2:$E$1001,"Knokke"))</f>
        <v/>
      </c>
      <c r="F69" s="56">
        <f>IF($A69="","",SUMIFS(Transactions!$H$2:$H$1001,Transactions!$B$2:$B$1001,$A69,Transactions!$E$2:$E$1001,"Warehouse"))</f>
        <v/>
      </c>
      <c r="G69" s="56">
        <f>IF($A69="","",SUM(D69:F69))</f>
        <v/>
      </c>
      <c r="H69" s="60">
        <f>IF($A69="","",VLOOKUP($A69,Catalog!$A$2:$N$201,13,FALSE))</f>
        <v/>
      </c>
      <c r="I69" s="60">
        <f>IF($A69="","",IF(G69&lt;=0,"Out of stock",IF(G69&lt;=H69,"Reorder","Healthy")))</f>
        <v/>
      </c>
      <c r="J69" s="60">
        <f>IF($A69="","",VLOOKUP($A69,Catalog!$A$2:$N$201,2,FALSE))</f>
        <v/>
      </c>
      <c r="K69" s="76">
        <f>IF($A69="","",VLOOKUP($A69,Catalog!$A$2:$N$201,11,FALSE))</f>
        <v/>
      </c>
      <c r="L69" s="76">
        <f>IF($A69="","",G69*K69)</f>
        <v/>
      </c>
      <c r="M69" s="76">
        <f>IF($A69="","",G69*VLOOKUP($A69,Catalog!$A$2:$N$201,12,FALSE))</f>
        <v/>
      </c>
    </row>
    <row r="70">
      <c r="A70" s="60">
        <f>IF(Catalog!A70="","",Catalog!A70)</f>
        <v/>
      </c>
      <c r="B70" s="60">
        <f>IF($A70="","",VLOOKUP($A70,Catalog!$A$2:$N$201,3,FALSE))</f>
        <v/>
      </c>
      <c r="C70" s="60">
        <f>IF($A70="","",VLOOKUP($A70,Catalog!$A$2:$N$201,4,FALSE))</f>
        <v/>
      </c>
      <c r="D70" s="56">
        <f>IF($A70="","",SUMIFS(Transactions!$H$2:$H$1001,Transactions!$B$2:$B$1001,$A70,Transactions!$E$2:$E$1001,"Studio"))</f>
        <v/>
      </c>
      <c r="E70" s="56">
        <f>IF($A70="","",SUMIFS(Transactions!$H$2:$H$1001,Transactions!$B$2:$B$1001,$A70,Transactions!$E$2:$E$1001,"Knokke"))</f>
        <v/>
      </c>
      <c r="F70" s="56">
        <f>IF($A70="","",SUMIFS(Transactions!$H$2:$H$1001,Transactions!$B$2:$B$1001,$A70,Transactions!$E$2:$E$1001,"Warehouse"))</f>
        <v/>
      </c>
      <c r="G70" s="56">
        <f>IF($A70="","",SUM(D70:F70))</f>
        <v/>
      </c>
      <c r="H70" s="60">
        <f>IF($A70="","",VLOOKUP($A70,Catalog!$A$2:$N$201,13,FALSE))</f>
        <v/>
      </c>
      <c r="I70" s="60">
        <f>IF($A70="","",IF(G70&lt;=0,"Out of stock",IF(G70&lt;=H70,"Reorder","Healthy")))</f>
        <v/>
      </c>
      <c r="J70" s="60">
        <f>IF($A70="","",VLOOKUP($A70,Catalog!$A$2:$N$201,2,FALSE))</f>
        <v/>
      </c>
      <c r="K70" s="76">
        <f>IF($A70="","",VLOOKUP($A70,Catalog!$A$2:$N$201,11,FALSE))</f>
        <v/>
      </c>
      <c r="L70" s="76">
        <f>IF($A70="","",G70*K70)</f>
        <v/>
      </c>
      <c r="M70" s="76">
        <f>IF($A70="","",G70*VLOOKUP($A70,Catalog!$A$2:$N$201,12,FALSE))</f>
        <v/>
      </c>
    </row>
    <row r="71">
      <c r="A71" s="60">
        <f>IF(Catalog!A71="","",Catalog!A71)</f>
        <v/>
      </c>
      <c r="B71" s="60">
        <f>IF($A71="","",VLOOKUP($A71,Catalog!$A$2:$N$201,3,FALSE))</f>
        <v/>
      </c>
      <c r="C71" s="60">
        <f>IF($A71="","",VLOOKUP($A71,Catalog!$A$2:$N$201,4,FALSE))</f>
        <v/>
      </c>
      <c r="D71" s="56">
        <f>IF($A71="","",SUMIFS(Transactions!$H$2:$H$1001,Transactions!$B$2:$B$1001,$A71,Transactions!$E$2:$E$1001,"Studio"))</f>
        <v/>
      </c>
      <c r="E71" s="56">
        <f>IF($A71="","",SUMIFS(Transactions!$H$2:$H$1001,Transactions!$B$2:$B$1001,$A71,Transactions!$E$2:$E$1001,"Knokke"))</f>
        <v/>
      </c>
      <c r="F71" s="56">
        <f>IF($A71="","",SUMIFS(Transactions!$H$2:$H$1001,Transactions!$B$2:$B$1001,$A71,Transactions!$E$2:$E$1001,"Warehouse"))</f>
        <v/>
      </c>
      <c r="G71" s="56">
        <f>IF($A71="","",SUM(D71:F71))</f>
        <v/>
      </c>
      <c r="H71" s="60">
        <f>IF($A71="","",VLOOKUP($A71,Catalog!$A$2:$N$201,13,FALSE))</f>
        <v/>
      </c>
      <c r="I71" s="60">
        <f>IF($A71="","",IF(G71&lt;=0,"Out of stock",IF(G71&lt;=H71,"Reorder","Healthy")))</f>
        <v/>
      </c>
      <c r="J71" s="60">
        <f>IF($A71="","",VLOOKUP($A71,Catalog!$A$2:$N$201,2,FALSE))</f>
        <v/>
      </c>
      <c r="K71" s="76">
        <f>IF($A71="","",VLOOKUP($A71,Catalog!$A$2:$N$201,11,FALSE))</f>
        <v/>
      </c>
      <c r="L71" s="76">
        <f>IF($A71="","",G71*K71)</f>
        <v/>
      </c>
      <c r="M71" s="76">
        <f>IF($A71="","",G71*VLOOKUP($A71,Catalog!$A$2:$N$201,12,FALSE))</f>
        <v/>
      </c>
    </row>
    <row r="72">
      <c r="A72" s="60">
        <f>IF(Catalog!A72="","",Catalog!A72)</f>
        <v/>
      </c>
      <c r="B72" s="60">
        <f>IF($A72="","",VLOOKUP($A72,Catalog!$A$2:$N$201,3,FALSE))</f>
        <v/>
      </c>
      <c r="C72" s="60">
        <f>IF($A72="","",VLOOKUP($A72,Catalog!$A$2:$N$201,4,FALSE))</f>
        <v/>
      </c>
      <c r="D72" s="56">
        <f>IF($A72="","",SUMIFS(Transactions!$H$2:$H$1001,Transactions!$B$2:$B$1001,$A72,Transactions!$E$2:$E$1001,"Studio"))</f>
        <v/>
      </c>
      <c r="E72" s="56">
        <f>IF($A72="","",SUMIFS(Transactions!$H$2:$H$1001,Transactions!$B$2:$B$1001,$A72,Transactions!$E$2:$E$1001,"Knokke"))</f>
        <v/>
      </c>
      <c r="F72" s="56">
        <f>IF($A72="","",SUMIFS(Transactions!$H$2:$H$1001,Transactions!$B$2:$B$1001,$A72,Transactions!$E$2:$E$1001,"Warehouse"))</f>
        <v/>
      </c>
      <c r="G72" s="56">
        <f>IF($A72="","",SUM(D72:F72))</f>
        <v/>
      </c>
      <c r="H72" s="60">
        <f>IF($A72="","",VLOOKUP($A72,Catalog!$A$2:$N$201,13,FALSE))</f>
        <v/>
      </c>
      <c r="I72" s="60">
        <f>IF($A72="","",IF(G72&lt;=0,"Out of stock",IF(G72&lt;=H72,"Reorder","Healthy")))</f>
        <v/>
      </c>
      <c r="J72" s="60">
        <f>IF($A72="","",VLOOKUP($A72,Catalog!$A$2:$N$201,2,FALSE))</f>
        <v/>
      </c>
      <c r="K72" s="76">
        <f>IF($A72="","",VLOOKUP($A72,Catalog!$A$2:$N$201,11,FALSE))</f>
        <v/>
      </c>
      <c r="L72" s="76">
        <f>IF($A72="","",G72*K72)</f>
        <v/>
      </c>
      <c r="M72" s="76">
        <f>IF($A72="","",G72*VLOOKUP($A72,Catalog!$A$2:$N$201,12,FALSE))</f>
        <v/>
      </c>
    </row>
    <row r="73">
      <c r="A73" s="60">
        <f>IF(Catalog!A73="","",Catalog!A73)</f>
        <v/>
      </c>
      <c r="B73" s="60">
        <f>IF($A73="","",VLOOKUP($A73,Catalog!$A$2:$N$201,3,FALSE))</f>
        <v/>
      </c>
      <c r="C73" s="60">
        <f>IF($A73="","",VLOOKUP($A73,Catalog!$A$2:$N$201,4,FALSE))</f>
        <v/>
      </c>
      <c r="D73" s="56">
        <f>IF($A73="","",SUMIFS(Transactions!$H$2:$H$1001,Transactions!$B$2:$B$1001,$A73,Transactions!$E$2:$E$1001,"Studio"))</f>
        <v/>
      </c>
      <c r="E73" s="56">
        <f>IF($A73="","",SUMIFS(Transactions!$H$2:$H$1001,Transactions!$B$2:$B$1001,$A73,Transactions!$E$2:$E$1001,"Knokke"))</f>
        <v/>
      </c>
      <c r="F73" s="56">
        <f>IF($A73="","",SUMIFS(Transactions!$H$2:$H$1001,Transactions!$B$2:$B$1001,$A73,Transactions!$E$2:$E$1001,"Warehouse"))</f>
        <v/>
      </c>
      <c r="G73" s="56">
        <f>IF($A73="","",SUM(D73:F73))</f>
        <v/>
      </c>
      <c r="H73" s="60">
        <f>IF($A73="","",VLOOKUP($A73,Catalog!$A$2:$N$201,13,FALSE))</f>
        <v/>
      </c>
      <c r="I73" s="60">
        <f>IF($A73="","",IF(G73&lt;=0,"Out of stock",IF(G73&lt;=H73,"Reorder","Healthy")))</f>
        <v/>
      </c>
      <c r="J73" s="60">
        <f>IF($A73="","",VLOOKUP($A73,Catalog!$A$2:$N$201,2,FALSE))</f>
        <v/>
      </c>
      <c r="K73" s="76">
        <f>IF($A73="","",VLOOKUP($A73,Catalog!$A$2:$N$201,11,FALSE))</f>
        <v/>
      </c>
      <c r="L73" s="76">
        <f>IF($A73="","",G73*K73)</f>
        <v/>
      </c>
      <c r="M73" s="76">
        <f>IF($A73="","",G73*VLOOKUP($A73,Catalog!$A$2:$N$201,12,FALSE))</f>
        <v/>
      </c>
    </row>
    <row r="74">
      <c r="A74" s="60">
        <f>IF(Catalog!A74="","",Catalog!A74)</f>
        <v/>
      </c>
      <c r="B74" s="60">
        <f>IF($A74="","",VLOOKUP($A74,Catalog!$A$2:$N$201,3,FALSE))</f>
        <v/>
      </c>
      <c r="C74" s="60">
        <f>IF($A74="","",VLOOKUP($A74,Catalog!$A$2:$N$201,4,FALSE))</f>
        <v/>
      </c>
      <c r="D74" s="56">
        <f>IF($A74="","",SUMIFS(Transactions!$H$2:$H$1001,Transactions!$B$2:$B$1001,$A74,Transactions!$E$2:$E$1001,"Studio"))</f>
        <v/>
      </c>
      <c r="E74" s="56">
        <f>IF($A74="","",SUMIFS(Transactions!$H$2:$H$1001,Transactions!$B$2:$B$1001,$A74,Transactions!$E$2:$E$1001,"Knokke"))</f>
        <v/>
      </c>
      <c r="F74" s="56">
        <f>IF($A74="","",SUMIFS(Transactions!$H$2:$H$1001,Transactions!$B$2:$B$1001,$A74,Transactions!$E$2:$E$1001,"Warehouse"))</f>
        <v/>
      </c>
      <c r="G74" s="56">
        <f>IF($A74="","",SUM(D74:F74))</f>
        <v/>
      </c>
      <c r="H74" s="60">
        <f>IF($A74="","",VLOOKUP($A74,Catalog!$A$2:$N$201,13,FALSE))</f>
        <v/>
      </c>
      <c r="I74" s="60">
        <f>IF($A74="","",IF(G74&lt;=0,"Out of stock",IF(G74&lt;=H74,"Reorder","Healthy")))</f>
        <v/>
      </c>
      <c r="J74" s="60">
        <f>IF($A74="","",VLOOKUP($A74,Catalog!$A$2:$N$201,2,FALSE))</f>
        <v/>
      </c>
      <c r="K74" s="76">
        <f>IF($A74="","",VLOOKUP($A74,Catalog!$A$2:$N$201,11,FALSE))</f>
        <v/>
      </c>
      <c r="L74" s="76">
        <f>IF($A74="","",G74*K74)</f>
        <v/>
      </c>
      <c r="M74" s="76">
        <f>IF($A74="","",G74*VLOOKUP($A74,Catalog!$A$2:$N$201,12,FALSE))</f>
        <v/>
      </c>
    </row>
    <row r="75">
      <c r="A75" s="60">
        <f>IF(Catalog!A75="","",Catalog!A75)</f>
        <v/>
      </c>
      <c r="B75" s="60">
        <f>IF($A75="","",VLOOKUP($A75,Catalog!$A$2:$N$201,3,FALSE))</f>
        <v/>
      </c>
      <c r="C75" s="60">
        <f>IF($A75="","",VLOOKUP($A75,Catalog!$A$2:$N$201,4,FALSE))</f>
        <v/>
      </c>
      <c r="D75" s="56">
        <f>IF($A75="","",SUMIFS(Transactions!$H$2:$H$1001,Transactions!$B$2:$B$1001,$A75,Transactions!$E$2:$E$1001,"Studio"))</f>
        <v/>
      </c>
      <c r="E75" s="56">
        <f>IF($A75="","",SUMIFS(Transactions!$H$2:$H$1001,Transactions!$B$2:$B$1001,$A75,Transactions!$E$2:$E$1001,"Knokke"))</f>
        <v/>
      </c>
      <c r="F75" s="56">
        <f>IF($A75="","",SUMIFS(Transactions!$H$2:$H$1001,Transactions!$B$2:$B$1001,$A75,Transactions!$E$2:$E$1001,"Warehouse"))</f>
        <v/>
      </c>
      <c r="G75" s="56">
        <f>IF($A75="","",SUM(D75:F75))</f>
        <v/>
      </c>
      <c r="H75" s="60">
        <f>IF($A75="","",VLOOKUP($A75,Catalog!$A$2:$N$201,13,FALSE))</f>
        <v/>
      </c>
      <c r="I75" s="60">
        <f>IF($A75="","",IF(G75&lt;=0,"Out of stock",IF(G75&lt;=H75,"Reorder","Healthy")))</f>
        <v/>
      </c>
      <c r="J75" s="60">
        <f>IF($A75="","",VLOOKUP($A75,Catalog!$A$2:$N$201,2,FALSE))</f>
        <v/>
      </c>
      <c r="K75" s="76">
        <f>IF($A75="","",VLOOKUP($A75,Catalog!$A$2:$N$201,11,FALSE))</f>
        <v/>
      </c>
      <c r="L75" s="76">
        <f>IF($A75="","",G75*K75)</f>
        <v/>
      </c>
      <c r="M75" s="76">
        <f>IF($A75="","",G75*VLOOKUP($A75,Catalog!$A$2:$N$201,12,FALSE))</f>
        <v/>
      </c>
    </row>
    <row r="76">
      <c r="A76" s="60">
        <f>IF(Catalog!A76="","",Catalog!A76)</f>
        <v/>
      </c>
      <c r="B76" s="60">
        <f>IF($A76="","",VLOOKUP($A76,Catalog!$A$2:$N$201,3,FALSE))</f>
        <v/>
      </c>
      <c r="C76" s="60">
        <f>IF($A76="","",VLOOKUP($A76,Catalog!$A$2:$N$201,4,FALSE))</f>
        <v/>
      </c>
      <c r="D76" s="56">
        <f>IF($A76="","",SUMIFS(Transactions!$H$2:$H$1001,Transactions!$B$2:$B$1001,$A76,Transactions!$E$2:$E$1001,"Studio"))</f>
        <v/>
      </c>
      <c r="E76" s="56">
        <f>IF($A76="","",SUMIFS(Transactions!$H$2:$H$1001,Transactions!$B$2:$B$1001,$A76,Transactions!$E$2:$E$1001,"Knokke"))</f>
        <v/>
      </c>
      <c r="F76" s="56">
        <f>IF($A76="","",SUMIFS(Transactions!$H$2:$H$1001,Transactions!$B$2:$B$1001,$A76,Transactions!$E$2:$E$1001,"Warehouse"))</f>
        <v/>
      </c>
      <c r="G76" s="56">
        <f>IF($A76="","",SUM(D76:F76))</f>
        <v/>
      </c>
      <c r="H76" s="60">
        <f>IF($A76="","",VLOOKUP($A76,Catalog!$A$2:$N$201,13,FALSE))</f>
        <v/>
      </c>
      <c r="I76" s="60">
        <f>IF($A76="","",IF(G76&lt;=0,"Out of stock",IF(G76&lt;=H76,"Reorder","Healthy")))</f>
        <v/>
      </c>
      <c r="J76" s="60">
        <f>IF($A76="","",VLOOKUP($A76,Catalog!$A$2:$N$201,2,FALSE))</f>
        <v/>
      </c>
      <c r="K76" s="76">
        <f>IF($A76="","",VLOOKUP($A76,Catalog!$A$2:$N$201,11,FALSE))</f>
        <v/>
      </c>
      <c r="L76" s="76">
        <f>IF($A76="","",G76*K76)</f>
        <v/>
      </c>
      <c r="M76" s="76">
        <f>IF($A76="","",G76*VLOOKUP($A76,Catalog!$A$2:$N$201,12,FALSE))</f>
        <v/>
      </c>
    </row>
    <row r="77">
      <c r="A77" s="60">
        <f>IF(Catalog!A77="","",Catalog!A77)</f>
        <v/>
      </c>
      <c r="B77" s="60">
        <f>IF($A77="","",VLOOKUP($A77,Catalog!$A$2:$N$201,3,FALSE))</f>
        <v/>
      </c>
      <c r="C77" s="60">
        <f>IF($A77="","",VLOOKUP($A77,Catalog!$A$2:$N$201,4,FALSE))</f>
        <v/>
      </c>
      <c r="D77" s="56">
        <f>IF($A77="","",SUMIFS(Transactions!$H$2:$H$1001,Transactions!$B$2:$B$1001,$A77,Transactions!$E$2:$E$1001,"Studio"))</f>
        <v/>
      </c>
      <c r="E77" s="56">
        <f>IF($A77="","",SUMIFS(Transactions!$H$2:$H$1001,Transactions!$B$2:$B$1001,$A77,Transactions!$E$2:$E$1001,"Knokke"))</f>
        <v/>
      </c>
      <c r="F77" s="56">
        <f>IF($A77="","",SUMIFS(Transactions!$H$2:$H$1001,Transactions!$B$2:$B$1001,$A77,Transactions!$E$2:$E$1001,"Warehouse"))</f>
        <v/>
      </c>
      <c r="G77" s="56">
        <f>IF($A77="","",SUM(D77:F77))</f>
        <v/>
      </c>
      <c r="H77" s="60">
        <f>IF($A77="","",VLOOKUP($A77,Catalog!$A$2:$N$201,13,FALSE))</f>
        <v/>
      </c>
      <c r="I77" s="60">
        <f>IF($A77="","",IF(G77&lt;=0,"Out of stock",IF(G77&lt;=H77,"Reorder","Healthy")))</f>
        <v/>
      </c>
      <c r="J77" s="60">
        <f>IF($A77="","",VLOOKUP($A77,Catalog!$A$2:$N$201,2,FALSE))</f>
        <v/>
      </c>
      <c r="K77" s="76">
        <f>IF($A77="","",VLOOKUP($A77,Catalog!$A$2:$N$201,11,FALSE))</f>
        <v/>
      </c>
      <c r="L77" s="76">
        <f>IF($A77="","",G77*K77)</f>
        <v/>
      </c>
      <c r="M77" s="76">
        <f>IF($A77="","",G77*VLOOKUP($A77,Catalog!$A$2:$N$201,12,FALSE))</f>
        <v/>
      </c>
    </row>
    <row r="78">
      <c r="A78" s="60">
        <f>IF(Catalog!A78="","",Catalog!A78)</f>
        <v/>
      </c>
      <c r="B78" s="60">
        <f>IF($A78="","",VLOOKUP($A78,Catalog!$A$2:$N$201,3,FALSE))</f>
        <v/>
      </c>
      <c r="C78" s="60">
        <f>IF($A78="","",VLOOKUP($A78,Catalog!$A$2:$N$201,4,FALSE))</f>
        <v/>
      </c>
      <c r="D78" s="56">
        <f>IF($A78="","",SUMIFS(Transactions!$H$2:$H$1001,Transactions!$B$2:$B$1001,$A78,Transactions!$E$2:$E$1001,"Studio"))</f>
        <v/>
      </c>
      <c r="E78" s="56">
        <f>IF($A78="","",SUMIFS(Transactions!$H$2:$H$1001,Transactions!$B$2:$B$1001,$A78,Transactions!$E$2:$E$1001,"Knokke"))</f>
        <v/>
      </c>
      <c r="F78" s="56">
        <f>IF($A78="","",SUMIFS(Transactions!$H$2:$H$1001,Transactions!$B$2:$B$1001,$A78,Transactions!$E$2:$E$1001,"Warehouse"))</f>
        <v/>
      </c>
      <c r="G78" s="56">
        <f>IF($A78="","",SUM(D78:F78))</f>
        <v/>
      </c>
      <c r="H78" s="60">
        <f>IF($A78="","",VLOOKUP($A78,Catalog!$A$2:$N$201,13,FALSE))</f>
        <v/>
      </c>
      <c r="I78" s="60">
        <f>IF($A78="","",IF(G78&lt;=0,"Out of stock",IF(G78&lt;=H78,"Reorder","Healthy")))</f>
        <v/>
      </c>
      <c r="J78" s="60">
        <f>IF($A78="","",VLOOKUP($A78,Catalog!$A$2:$N$201,2,FALSE))</f>
        <v/>
      </c>
      <c r="K78" s="76">
        <f>IF($A78="","",VLOOKUP($A78,Catalog!$A$2:$N$201,11,FALSE))</f>
        <v/>
      </c>
      <c r="L78" s="76">
        <f>IF($A78="","",G78*K78)</f>
        <v/>
      </c>
      <c r="M78" s="76">
        <f>IF($A78="","",G78*VLOOKUP($A78,Catalog!$A$2:$N$201,12,FALSE))</f>
        <v/>
      </c>
    </row>
    <row r="79">
      <c r="A79" s="60">
        <f>IF(Catalog!A79="","",Catalog!A79)</f>
        <v/>
      </c>
      <c r="B79" s="60">
        <f>IF($A79="","",VLOOKUP($A79,Catalog!$A$2:$N$201,3,FALSE))</f>
        <v/>
      </c>
      <c r="C79" s="60">
        <f>IF($A79="","",VLOOKUP($A79,Catalog!$A$2:$N$201,4,FALSE))</f>
        <v/>
      </c>
      <c r="D79" s="56">
        <f>IF($A79="","",SUMIFS(Transactions!$H$2:$H$1001,Transactions!$B$2:$B$1001,$A79,Transactions!$E$2:$E$1001,"Studio"))</f>
        <v/>
      </c>
      <c r="E79" s="56">
        <f>IF($A79="","",SUMIFS(Transactions!$H$2:$H$1001,Transactions!$B$2:$B$1001,$A79,Transactions!$E$2:$E$1001,"Knokke"))</f>
        <v/>
      </c>
      <c r="F79" s="56">
        <f>IF($A79="","",SUMIFS(Transactions!$H$2:$H$1001,Transactions!$B$2:$B$1001,$A79,Transactions!$E$2:$E$1001,"Warehouse"))</f>
        <v/>
      </c>
      <c r="G79" s="56">
        <f>IF($A79="","",SUM(D79:F79))</f>
        <v/>
      </c>
      <c r="H79" s="60">
        <f>IF($A79="","",VLOOKUP($A79,Catalog!$A$2:$N$201,13,FALSE))</f>
        <v/>
      </c>
      <c r="I79" s="60">
        <f>IF($A79="","",IF(G79&lt;=0,"Out of stock",IF(G79&lt;=H79,"Reorder","Healthy")))</f>
        <v/>
      </c>
      <c r="J79" s="60">
        <f>IF($A79="","",VLOOKUP($A79,Catalog!$A$2:$N$201,2,FALSE))</f>
        <v/>
      </c>
      <c r="K79" s="76">
        <f>IF($A79="","",VLOOKUP($A79,Catalog!$A$2:$N$201,11,FALSE))</f>
        <v/>
      </c>
      <c r="L79" s="76">
        <f>IF($A79="","",G79*K79)</f>
        <v/>
      </c>
      <c r="M79" s="76">
        <f>IF($A79="","",G79*VLOOKUP($A79,Catalog!$A$2:$N$201,12,FALSE))</f>
        <v/>
      </c>
    </row>
    <row r="80">
      <c r="A80" s="60">
        <f>IF(Catalog!A80="","",Catalog!A80)</f>
        <v/>
      </c>
      <c r="B80" s="60">
        <f>IF($A80="","",VLOOKUP($A80,Catalog!$A$2:$N$201,3,FALSE))</f>
        <v/>
      </c>
      <c r="C80" s="60">
        <f>IF($A80="","",VLOOKUP($A80,Catalog!$A$2:$N$201,4,FALSE))</f>
        <v/>
      </c>
      <c r="D80" s="56">
        <f>IF($A80="","",SUMIFS(Transactions!$H$2:$H$1001,Transactions!$B$2:$B$1001,$A80,Transactions!$E$2:$E$1001,"Studio"))</f>
        <v/>
      </c>
      <c r="E80" s="56">
        <f>IF($A80="","",SUMIFS(Transactions!$H$2:$H$1001,Transactions!$B$2:$B$1001,$A80,Transactions!$E$2:$E$1001,"Knokke"))</f>
        <v/>
      </c>
      <c r="F80" s="56">
        <f>IF($A80="","",SUMIFS(Transactions!$H$2:$H$1001,Transactions!$B$2:$B$1001,$A80,Transactions!$E$2:$E$1001,"Warehouse"))</f>
        <v/>
      </c>
      <c r="G80" s="56">
        <f>IF($A80="","",SUM(D80:F80))</f>
        <v/>
      </c>
      <c r="H80" s="60">
        <f>IF($A80="","",VLOOKUP($A80,Catalog!$A$2:$N$201,13,FALSE))</f>
        <v/>
      </c>
      <c r="I80" s="60">
        <f>IF($A80="","",IF(G80&lt;=0,"Out of stock",IF(G80&lt;=H80,"Reorder","Healthy")))</f>
        <v/>
      </c>
      <c r="J80" s="60">
        <f>IF($A80="","",VLOOKUP($A80,Catalog!$A$2:$N$201,2,FALSE))</f>
        <v/>
      </c>
      <c r="K80" s="76">
        <f>IF($A80="","",VLOOKUP($A80,Catalog!$A$2:$N$201,11,FALSE))</f>
        <v/>
      </c>
      <c r="L80" s="76">
        <f>IF($A80="","",G80*K80)</f>
        <v/>
      </c>
      <c r="M80" s="76">
        <f>IF($A80="","",G80*VLOOKUP($A80,Catalog!$A$2:$N$201,12,FALSE))</f>
        <v/>
      </c>
    </row>
    <row r="81">
      <c r="A81" s="60">
        <f>IF(Catalog!A81="","",Catalog!A81)</f>
        <v/>
      </c>
      <c r="B81" s="60">
        <f>IF($A81="","",VLOOKUP($A81,Catalog!$A$2:$N$201,3,FALSE))</f>
        <v/>
      </c>
      <c r="C81" s="60">
        <f>IF($A81="","",VLOOKUP($A81,Catalog!$A$2:$N$201,4,FALSE))</f>
        <v/>
      </c>
      <c r="D81" s="56">
        <f>IF($A81="","",SUMIFS(Transactions!$H$2:$H$1001,Transactions!$B$2:$B$1001,$A81,Transactions!$E$2:$E$1001,"Studio"))</f>
        <v/>
      </c>
      <c r="E81" s="56">
        <f>IF($A81="","",SUMIFS(Transactions!$H$2:$H$1001,Transactions!$B$2:$B$1001,$A81,Transactions!$E$2:$E$1001,"Knokke"))</f>
        <v/>
      </c>
      <c r="F81" s="56">
        <f>IF($A81="","",SUMIFS(Transactions!$H$2:$H$1001,Transactions!$B$2:$B$1001,$A81,Transactions!$E$2:$E$1001,"Warehouse"))</f>
        <v/>
      </c>
      <c r="G81" s="56">
        <f>IF($A81="","",SUM(D81:F81))</f>
        <v/>
      </c>
      <c r="H81" s="60">
        <f>IF($A81="","",VLOOKUP($A81,Catalog!$A$2:$N$201,13,FALSE))</f>
        <v/>
      </c>
      <c r="I81" s="60">
        <f>IF($A81="","",IF(G81&lt;=0,"Out of stock",IF(G81&lt;=H81,"Reorder","Healthy")))</f>
        <v/>
      </c>
      <c r="J81" s="60">
        <f>IF($A81="","",VLOOKUP($A81,Catalog!$A$2:$N$201,2,FALSE))</f>
        <v/>
      </c>
      <c r="K81" s="76">
        <f>IF($A81="","",VLOOKUP($A81,Catalog!$A$2:$N$201,11,FALSE))</f>
        <v/>
      </c>
      <c r="L81" s="76">
        <f>IF($A81="","",G81*K81)</f>
        <v/>
      </c>
      <c r="M81" s="76">
        <f>IF($A81="","",G81*VLOOKUP($A81,Catalog!$A$2:$N$201,12,FALSE))</f>
        <v/>
      </c>
    </row>
    <row r="82">
      <c r="A82" s="60">
        <f>IF(Catalog!A82="","",Catalog!A82)</f>
        <v/>
      </c>
      <c r="B82" s="60">
        <f>IF($A82="","",VLOOKUP($A82,Catalog!$A$2:$N$201,3,FALSE))</f>
        <v/>
      </c>
      <c r="C82" s="60">
        <f>IF($A82="","",VLOOKUP($A82,Catalog!$A$2:$N$201,4,FALSE))</f>
        <v/>
      </c>
      <c r="D82" s="56">
        <f>IF($A82="","",SUMIFS(Transactions!$H$2:$H$1001,Transactions!$B$2:$B$1001,$A82,Transactions!$E$2:$E$1001,"Studio"))</f>
        <v/>
      </c>
      <c r="E82" s="56">
        <f>IF($A82="","",SUMIFS(Transactions!$H$2:$H$1001,Transactions!$B$2:$B$1001,$A82,Transactions!$E$2:$E$1001,"Knokke"))</f>
        <v/>
      </c>
      <c r="F82" s="56">
        <f>IF($A82="","",SUMIFS(Transactions!$H$2:$H$1001,Transactions!$B$2:$B$1001,$A82,Transactions!$E$2:$E$1001,"Warehouse"))</f>
        <v/>
      </c>
      <c r="G82" s="56">
        <f>IF($A82="","",SUM(D82:F82))</f>
        <v/>
      </c>
      <c r="H82" s="60">
        <f>IF($A82="","",VLOOKUP($A82,Catalog!$A$2:$N$201,13,FALSE))</f>
        <v/>
      </c>
      <c r="I82" s="60">
        <f>IF($A82="","",IF(G82&lt;=0,"Out of stock",IF(G82&lt;=H82,"Reorder","Healthy")))</f>
        <v/>
      </c>
      <c r="J82" s="60">
        <f>IF($A82="","",VLOOKUP($A82,Catalog!$A$2:$N$201,2,FALSE))</f>
        <v/>
      </c>
      <c r="K82" s="76">
        <f>IF($A82="","",VLOOKUP($A82,Catalog!$A$2:$N$201,11,FALSE))</f>
        <v/>
      </c>
      <c r="L82" s="76">
        <f>IF($A82="","",G82*K82)</f>
        <v/>
      </c>
      <c r="M82" s="76">
        <f>IF($A82="","",G82*VLOOKUP($A82,Catalog!$A$2:$N$201,12,FALSE))</f>
        <v/>
      </c>
    </row>
    <row r="83">
      <c r="A83" s="60">
        <f>IF(Catalog!A83="","",Catalog!A83)</f>
        <v/>
      </c>
      <c r="B83" s="60">
        <f>IF($A83="","",VLOOKUP($A83,Catalog!$A$2:$N$201,3,FALSE))</f>
        <v/>
      </c>
      <c r="C83" s="60">
        <f>IF($A83="","",VLOOKUP($A83,Catalog!$A$2:$N$201,4,FALSE))</f>
        <v/>
      </c>
      <c r="D83" s="56">
        <f>IF($A83="","",SUMIFS(Transactions!$H$2:$H$1001,Transactions!$B$2:$B$1001,$A83,Transactions!$E$2:$E$1001,"Studio"))</f>
        <v/>
      </c>
      <c r="E83" s="56">
        <f>IF($A83="","",SUMIFS(Transactions!$H$2:$H$1001,Transactions!$B$2:$B$1001,$A83,Transactions!$E$2:$E$1001,"Knokke"))</f>
        <v/>
      </c>
      <c r="F83" s="56">
        <f>IF($A83="","",SUMIFS(Transactions!$H$2:$H$1001,Transactions!$B$2:$B$1001,$A83,Transactions!$E$2:$E$1001,"Warehouse"))</f>
        <v/>
      </c>
      <c r="G83" s="56">
        <f>IF($A83="","",SUM(D83:F83))</f>
        <v/>
      </c>
      <c r="H83" s="60">
        <f>IF($A83="","",VLOOKUP($A83,Catalog!$A$2:$N$201,13,FALSE))</f>
        <v/>
      </c>
      <c r="I83" s="60">
        <f>IF($A83="","",IF(G83&lt;=0,"Out of stock",IF(G83&lt;=H83,"Reorder","Healthy")))</f>
        <v/>
      </c>
      <c r="J83" s="60">
        <f>IF($A83="","",VLOOKUP($A83,Catalog!$A$2:$N$201,2,FALSE))</f>
        <v/>
      </c>
      <c r="K83" s="76">
        <f>IF($A83="","",VLOOKUP($A83,Catalog!$A$2:$N$201,11,FALSE))</f>
        <v/>
      </c>
      <c r="L83" s="76">
        <f>IF($A83="","",G83*K83)</f>
        <v/>
      </c>
      <c r="M83" s="76">
        <f>IF($A83="","",G83*VLOOKUP($A83,Catalog!$A$2:$N$201,12,FALSE))</f>
        <v/>
      </c>
    </row>
    <row r="84">
      <c r="A84" s="60">
        <f>IF(Catalog!A84="","",Catalog!A84)</f>
        <v/>
      </c>
      <c r="B84" s="60">
        <f>IF($A84="","",VLOOKUP($A84,Catalog!$A$2:$N$201,3,FALSE))</f>
        <v/>
      </c>
      <c r="C84" s="60">
        <f>IF($A84="","",VLOOKUP($A84,Catalog!$A$2:$N$201,4,FALSE))</f>
        <v/>
      </c>
      <c r="D84" s="56">
        <f>IF($A84="","",SUMIFS(Transactions!$H$2:$H$1001,Transactions!$B$2:$B$1001,$A84,Transactions!$E$2:$E$1001,"Studio"))</f>
        <v/>
      </c>
      <c r="E84" s="56">
        <f>IF($A84="","",SUMIFS(Transactions!$H$2:$H$1001,Transactions!$B$2:$B$1001,$A84,Transactions!$E$2:$E$1001,"Knokke"))</f>
        <v/>
      </c>
      <c r="F84" s="56">
        <f>IF($A84="","",SUMIFS(Transactions!$H$2:$H$1001,Transactions!$B$2:$B$1001,$A84,Transactions!$E$2:$E$1001,"Warehouse"))</f>
        <v/>
      </c>
      <c r="G84" s="56">
        <f>IF($A84="","",SUM(D84:F84))</f>
        <v/>
      </c>
      <c r="H84" s="60">
        <f>IF($A84="","",VLOOKUP($A84,Catalog!$A$2:$N$201,13,FALSE))</f>
        <v/>
      </c>
      <c r="I84" s="60">
        <f>IF($A84="","",IF(G84&lt;=0,"Out of stock",IF(G84&lt;=H84,"Reorder","Healthy")))</f>
        <v/>
      </c>
      <c r="J84" s="60">
        <f>IF($A84="","",VLOOKUP($A84,Catalog!$A$2:$N$201,2,FALSE))</f>
        <v/>
      </c>
      <c r="K84" s="76">
        <f>IF($A84="","",VLOOKUP($A84,Catalog!$A$2:$N$201,11,FALSE))</f>
        <v/>
      </c>
      <c r="L84" s="76">
        <f>IF($A84="","",G84*K84)</f>
        <v/>
      </c>
      <c r="M84" s="76">
        <f>IF($A84="","",G84*VLOOKUP($A84,Catalog!$A$2:$N$201,12,FALSE))</f>
        <v/>
      </c>
    </row>
    <row r="85">
      <c r="A85" s="60">
        <f>IF(Catalog!A85="","",Catalog!A85)</f>
        <v/>
      </c>
      <c r="B85" s="60">
        <f>IF($A85="","",VLOOKUP($A85,Catalog!$A$2:$N$201,3,FALSE))</f>
        <v/>
      </c>
      <c r="C85" s="60">
        <f>IF($A85="","",VLOOKUP($A85,Catalog!$A$2:$N$201,4,FALSE))</f>
        <v/>
      </c>
      <c r="D85" s="56">
        <f>IF($A85="","",SUMIFS(Transactions!$H$2:$H$1001,Transactions!$B$2:$B$1001,$A85,Transactions!$E$2:$E$1001,"Studio"))</f>
        <v/>
      </c>
      <c r="E85" s="56">
        <f>IF($A85="","",SUMIFS(Transactions!$H$2:$H$1001,Transactions!$B$2:$B$1001,$A85,Transactions!$E$2:$E$1001,"Knokke"))</f>
        <v/>
      </c>
      <c r="F85" s="56">
        <f>IF($A85="","",SUMIFS(Transactions!$H$2:$H$1001,Transactions!$B$2:$B$1001,$A85,Transactions!$E$2:$E$1001,"Warehouse"))</f>
        <v/>
      </c>
      <c r="G85" s="56">
        <f>IF($A85="","",SUM(D85:F85))</f>
        <v/>
      </c>
      <c r="H85" s="60">
        <f>IF($A85="","",VLOOKUP($A85,Catalog!$A$2:$N$201,13,FALSE))</f>
        <v/>
      </c>
      <c r="I85" s="60">
        <f>IF($A85="","",IF(G85&lt;=0,"Out of stock",IF(G85&lt;=H85,"Reorder","Healthy")))</f>
        <v/>
      </c>
      <c r="J85" s="60">
        <f>IF($A85="","",VLOOKUP($A85,Catalog!$A$2:$N$201,2,FALSE))</f>
        <v/>
      </c>
      <c r="K85" s="76">
        <f>IF($A85="","",VLOOKUP($A85,Catalog!$A$2:$N$201,11,FALSE))</f>
        <v/>
      </c>
      <c r="L85" s="76">
        <f>IF($A85="","",G85*K85)</f>
        <v/>
      </c>
      <c r="M85" s="76">
        <f>IF($A85="","",G85*VLOOKUP($A85,Catalog!$A$2:$N$201,12,FALSE))</f>
        <v/>
      </c>
    </row>
    <row r="86">
      <c r="A86" s="60">
        <f>IF(Catalog!A86="","",Catalog!A86)</f>
        <v/>
      </c>
      <c r="B86" s="60">
        <f>IF($A86="","",VLOOKUP($A86,Catalog!$A$2:$N$201,3,FALSE))</f>
        <v/>
      </c>
      <c r="C86" s="60">
        <f>IF($A86="","",VLOOKUP($A86,Catalog!$A$2:$N$201,4,FALSE))</f>
        <v/>
      </c>
      <c r="D86" s="56">
        <f>IF($A86="","",SUMIFS(Transactions!$H$2:$H$1001,Transactions!$B$2:$B$1001,$A86,Transactions!$E$2:$E$1001,"Studio"))</f>
        <v/>
      </c>
      <c r="E86" s="56">
        <f>IF($A86="","",SUMIFS(Transactions!$H$2:$H$1001,Transactions!$B$2:$B$1001,$A86,Transactions!$E$2:$E$1001,"Knokke"))</f>
        <v/>
      </c>
      <c r="F86" s="56">
        <f>IF($A86="","",SUMIFS(Transactions!$H$2:$H$1001,Transactions!$B$2:$B$1001,$A86,Transactions!$E$2:$E$1001,"Warehouse"))</f>
        <v/>
      </c>
      <c r="G86" s="56">
        <f>IF($A86="","",SUM(D86:F86))</f>
        <v/>
      </c>
      <c r="H86" s="60">
        <f>IF($A86="","",VLOOKUP($A86,Catalog!$A$2:$N$201,13,FALSE))</f>
        <v/>
      </c>
      <c r="I86" s="60">
        <f>IF($A86="","",IF(G86&lt;=0,"Out of stock",IF(G86&lt;=H86,"Reorder","Healthy")))</f>
        <v/>
      </c>
      <c r="J86" s="60">
        <f>IF($A86="","",VLOOKUP($A86,Catalog!$A$2:$N$201,2,FALSE))</f>
        <v/>
      </c>
      <c r="K86" s="76">
        <f>IF($A86="","",VLOOKUP($A86,Catalog!$A$2:$N$201,11,FALSE))</f>
        <v/>
      </c>
      <c r="L86" s="76">
        <f>IF($A86="","",G86*K86)</f>
        <v/>
      </c>
      <c r="M86" s="76">
        <f>IF($A86="","",G86*VLOOKUP($A86,Catalog!$A$2:$N$201,12,FALSE))</f>
        <v/>
      </c>
    </row>
    <row r="87">
      <c r="A87" s="60">
        <f>IF(Catalog!A87="","",Catalog!A87)</f>
        <v/>
      </c>
      <c r="B87" s="60">
        <f>IF($A87="","",VLOOKUP($A87,Catalog!$A$2:$N$201,3,FALSE))</f>
        <v/>
      </c>
      <c r="C87" s="60">
        <f>IF($A87="","",VLOOKUP($A87,Catalog!$A$2:$N$201,4,FALSE))</f>
        <v/>
      </c>
      <c r="D87" s="56">
        <f>IF($A87="","",SUMIFS(Transactions!$H$2:$H$1001,Transactions!$B$2:$B$1001,$A87,Transactions!$E$2:$E$1001,"Studio"))</f>
        <v/>
      </c>
      <c r="E87" s="56">
        <f>IF($A87="","",SUMIFS(Transactions!$H$2:$H$1001,Transactions!$B$2:$B$1001,$A87,Transactions!$E$2:$E$1001,"Knokke"))</f>
        <v/>
      </c>
      <c r="F87" s="56">
        <f>IF($A87="","",SUMIFS(Transactions!$H$2:$H$1001,Transactions!$B$2:$B$1001,$A87,Transactions!$E$2:$E$1001,"Warehouse"))</f>
        <v/>
      </c>
      <c r="G87" s="56">
        <f>IF($A87="","",SUM(D87:F87))</f>
        <v/>
      </c>
      <c r="H87" s="60">
        <f>IF($A87="","",VLOOKUP($A87,Catalog!$A$2:$N$201,13,FALSE))</f>
        <v/>
      </c>
      <c r="I87" s="60">
        <f>IF($A87="","",IF(G87&lt;=0,"Out of stock",IF(G87&lt;=H87,"Reorder","Healthy")))</f>
        <v/>
      </c>
      <c r="J87" s="60">
        <f>IF($A87="","",VLOOKUP($A87,Catalog!$A$2:$N$201,2,FALSE))</f>
        <v/>
      </c>
      <c r="K87" s="76">
        <f>IF($A87="","",VLOOKUP($A87,Catalog!$A$2:$N$201,11,FALSE))</f>
        <v/>
      </c>
      <c r="L87" s="76">
        <f>IF($A87="","",G87*K87)</f>
        <v/>
      </c>
      <c r="M87" s="76">
        <f>IF($A87="","",G87*VLOOKUP($A87,Catalog!$A$2:$N$201,12,FALSE))</f>
        <v/>
      </c>
    </row>
    <row r="88">
      <c r="A88" s="60">
        <f>IF(Catalog!A88="","",Catalog!A88)</f>
        <v/>
      </c>
      <c r="B88" s="60">
        <f>IF($A88="","",VLOOKUP($A88,Catalog!$A$2:$N$201,3,FALSE))</f>
        <v/>
      </c>
      <c r="C88" s="60">
        <f>IF($A88="","",VLOOKUP($A88,Catalog!$A$2:$N$201,4,FALSE))</f>
        <v/>
      </c>
      <c r="D88" s="56">
        <f>IF($A88="","",SUMIFS(Transactions!$H$2:$H$1001,Transactions!$B$2:$B$1001,$A88,Transactions!$E$2:$E$1001,"Studio"))</f>
        <v/>
      </c>
      <c r="E88" s="56">
        <f>IF($A88="","",SUMIFS(Transactions!$H$2:$H$1001,Transactions!$B$2:$B$1001,$A88,Transactions!$E$2:$E$1001,"Knokke"))</f>
        <v/>
      </c>
      <c r="F88" s="56">
        <f>IF($A88="","",SUMIFS(Transactions!$H$2:$H$1001,Transactions!$B$2:$B$1001,$A88,Transactions!$E$2:$E$1001,"Warehouse"))</f>
        <v/>
      </c>
      <c r="G88" s="56">
        <f>IF($A88="","",SUM(D88:F88))</f>
        <v/>
      </c>
      <c r="H88" s="60">
        <f>IF($A88="","",VLOOKUP($A88,Catalog!$A$2:$N$201,13,FALSE))</f>
        <v/>
      </c>
      <c r="I88" s="60">
        <f>IF($A88="","",IF(G88&lt;=0,"Out of stock",IF(G88&lt;=H88,"Reorder","Healthy")))</f>
        <v/>
      </c>
      <c r="J88" s="60">
        <f>IF($A88="","",VLOOKUP($A88,Catalog!$A$2:$N$201,2,FALSE))</f>
        <v/>
      </c>
      <c r="K88" s="76">
        <f>IF($A88="","",VLOOKUP($A88,Catalog!$A$2:$N$201,11,FALSE))</f>
        <v/>
      </c>
      <c r="L88" s="76">
        <f>IF($A88="","",G88*K88)</f>
        <v/>
      </c>
      <c r="M88" s="76">
        <f>IF($A88="","",G88*VLOOKUP($A88,Catalog!$A$2:$N$201,12,FALSE))</f>
        <v/>
      </c>
    </row>
    <row r="89">
      <c r="A89" s="60">
        <f>IF(Catalog!A89="","",Catalog!A89)</f>
        <v/>
      </c>
      <c r="B89" s="60">
        <f>IF($A89="","",VLOOKUP($A89,Catalog!$A$2:$N$201,3,FALSE))</f>
        <v/>
      </c>
      <c r="C89" s="60">
        <f>IF($A89="","",VLOOKUP($A89,Catalog!$A$2:$N$201,4,FALSE))</f>
        <v/>
      </c>
      <c r="D89" s="56">
        <f>IF($A89="","",SUMIFS(Transactions!$H$2:$H$1001,Transactions!$B$2:$B$1001,$A89,Transactions!$E$2:$E$1001,"Studio"))</f>
        <v/>
      </c>
      <c r="E89" s="56">
        <f>IF($A89="","",SUMIFS(Transactions!$H$2:$H$1001,Transactions!$B$2:$B$1001,$A89,Transactions!$E$2:$E$1001,"Knokke"))</f>
        <v/>
      </c>
      <c r="F89" s="56">
        <f>IF($A89="","",SUMIFS(Transactions!$H$2:$H$1001,Transactions!$B$2:$B$1001,$A89,Transactions!$E$2:$E$1001,"Warehouse"))</f>
        <v/>
      </c>
      <c r="G89" s="56">
        <f>IF($A89="","",SUM(D89:F89))</f>
        <v/>
      </c>
      <c r="H89" s="60">
        <f>IF($A89="","",VLOOKUP($A89,Catalog!$A$2:$N$201,13,FALSE))</f>
        <v/>
      </c>
      <c r="I89" s="60">
        <f>IF($A89="","",IF(G89&lt;=0,"Out of stock",IF(G89&lt;=H89,"Reorder","Healthy")))</f>
        <v/>
      </c>
      <c r="J89" s="60">
        <f>IF($A89="","",VLOOKUP($A89,Catalog!$A$2:$N$201,2,FALSE))</f>
        <v/>
      </c>
      <c r="K89" s="76">
        <f>IF($A89="","",VLOOKUP($A89,Catalog!$A$2:$N$201,11,FALSE))</f>
        <v/>
      </c>
      <c r="L89" s="76">
        <f>IF($A89="","",G89*K89)</f>
        <v/>
      </c>
      <c r="M89" s="76">
        <f>IF($A89="","",G89*VLOOKUP($A89,Catalog!$A$2:$N$201,12,FALSE))</f>
        <v/>
      </c>
    </row>
    <row r="90">
      <c r="A90" s="60">
        <f>IF(Catalog!A90="","",Catalog!A90)</f>
        <v/>
      </c>
      <c r="B90" s="60">
        <f>IF($A90="","",VLOOKUP($A90,Catalog!$A$2:$N$201,3,FALSE))</f>
        <v/>
      </c>
      <c r="C90" s="60">
        <f>IF($A90="","",VLOOKUP($A90,Catalog!$A$2:$N$201,4,FALSE))</f>
        <v/>
      </c>
      <c r="D90" s="56">
        <f>IF($A90="","",SUMIFS(Transactions!$H$2:$H$1001,Transactions!$B$2:$B$1001,$A90,Transactions!$E$2:$E$1001,"Studio"))</f>
        <v/>
      </c>
      <c r="E90" s="56">
        <f>IF($A90="","",SUMIFS(Transactions!$H$2:$H$1001,Transactions!$B$2:$B$1001,$A90,Transactions!$E$2:$E$1001,"Knokke"))</f>
        <v/>
      </c>
      <c r="F90" s="56">
        <f>IF($A90="","",SUMIFS(Transactions!$H$2:$H$1001,Transactions!$B$2:$B$1001,$A90,Transactions!$E$2:$E$1001,"Warehouse"))</f>
        <v/>
      </c>
      <c r="G90" s="56">
        <f>IF($A90="","",SUM(D90:F90))</f>
        <v/>
      </c>
      <c r="H90" s="60">
        <f>IF($A90="","",VLOOKUP($A90,Catalog!$A$2:$N$201,13,FALSE))</f>
        <v/>
      </c>
      <c r="I90" s="60">
        <f>IF($A90="","",IF(G90&lt;=0,"Out of stock",IF(G90&lt;=H90,"Reorder","Healthy")))</f>
        <v/>
      </c>
      <c r="J90" s="60">
        <f>IF($A90="","",VLOOKUP($A90,Catalog!$A$2:$N$201,2,FALSE))</f>
        <v/>
      </c>
      <c r="K90" s="76">
        <f>IF($A90="","",VLOOKUP($A90,Catalog!$A$2:$N$201,11,FALSE))</f>
        <v/>
      </c>
      <c r="L90" s="76">
        <f>IF($A90="","",G90*K90)</f>
        <v/>
      </c>
      <c r="M90" s="76">
        <f>IF($A90="","",G90*VLOOKUP($A90,Catalog!$A$2:$N$201,12,FALSE))</f>
        <v/>
      </c>
    </row>
    <row r="91">
      <c r="A91" s="60">
        <f>IF(Catalog!A91="","",Catalog!A91)</f>
        <v/>
      </c>
      <c r="B91" s="60">
        <f>IF($A91="","",VLOOKUP($A91,Catalog!$A$2:$N$201,3,FALSE))</f>
        <v/>
      </c>
      <c r="C91" s="60">
        <f>IF($A91="","",VLOOKUP($A91,Catalog!$A$2:$N$201,4,FALSE))</f>
        <v/>
      </c>
      <c r="D91" s="56">
        <f>IF($A91="","",SUMIFS(Transactions!$H$2:$H$1001,Transactions!$B$2:$B$1001,$A91,Transactions!$E$2:$E$1001,"Studio"))</f>
        <v/>
      </c>
      <c r="E91" s="56">
        <f>IF($A91="","",SUMIFS(Transactions!$H$2:$H$1001,Transactions!$B$2:$B$1001,$A91,Transactions!$E$2:$E$1001,"Knokke"))</f>
        <v/>
      </c>
      <c r="F91" s="56">
        <f>IF($A91="","",SUMIFS(Transactions!$H$2:$H$1001,Transactions!$B$2:$B$1001,$A91,Transactions!$E$2:$E$1001,"Warehouse"))</f>
        <v/>
      </c>
      <c r="G91" s="56">
        <f>IF($A91="","",SUM(D91:F91))</f>
        <v/>
      </c>
      <c r="H91" s="60">
        <f>IF($A91="","",VLOOKUP($A91,Catalog!$A$2:$N$201,13,FALSE))</f>
        <v/>
      </c>
      <c r="I91" s="60">
        <f>IF($A91="","",IF(G91&lt;=0,"Out of stock",IF(G91&lt;=H91,"Reorder","Healthy")))</f>
        <v/>
      </c>
      <c r="J91" s="60">
        <f>IF($A91="","",VLOOKUP($A91,Catalog!$A$2:$N$201,2,FALSE))</f>
        <v/>
      </c>
      <c r="K91" s="76">
        <f>IF($A91="","",VLOOKUP($A91,Catalog!$A$2:$N$201,11,FALSE))</f>
        <v/>
      </c>
      <c r="L91" s="76">
        <f>IF($A91="","",G91*K91)</f>
        <v/>
      </c>
      <c r="M91" s="76">
        <f>IF($A91="","",G91*VLOOKUP($A91,Catalog!$A$2:$N$201,12,FALSE))</f>
        <v/>
      </c>
    </row>
    <row r="92">
      <c r="A92" s="60">
        <f>IF(Catalog!A92="","",Catalog!A92)</f>
        <v/>
      </c>
      <c r="B92" s="60">
        <f>IF($A92="","",VLOOKUP($A92,Catalog!$A$2:$N$201,3,FALSE))</f>
        <v/>
      </c>
      <c r="C92" s="60">
        <f>IF($A92="","",VLOOKUP($A92,Catalog!$A$2:$N$201,4,FALSE))</f>
        <v/>
      </c>
      <c r="D92" s="56">
        <f>IF($A92="","",SUMIFS(Transactions!$H$2:$H$1001,Transactions!$B$2:$B$1001,$A92,Transactions!$E$2:$E$1001,"Studio"))</f>
        <v/>
      </c>
      <c r="E92" s="56">
        <f>IF($A92="","",SUMIFS(Transactions!$H$2:$H$1001,Transactions!$B$2:$B$1001,$A92,Transactions!$E$2:$E$1001,"Knokke"))</f>
        <v/>
      </c>
      <c r="F92" s="56">
        <f>IF($A92="","",SUMIFS(Transactions!$H$2:$H$1001,Transactions!$B$2:$B$1001,$A92,Transactions!$E$2:$E$1001,"Warehouse"))</f>
        <v/>
      </c>
      <c r="G92" s="56">
        <f>IF($A92="","",SUM(D92:F92))</f>
        <v/>
      </c>
      <c r="H92" s="60">
        <f>IF($A92="","",VLOOKUP($A92,Catalog!$A$2:$N$201,13,FALSE))</f>
        <v/>
      </c>
      <c r="I92" s="60">
        <f>IF($A92="","",IF(G92&lt;=0,"Out of stock",IF(G92&lt;=H92,"Reorder","Healthy")))</f>
        <v/>
      </c>
      <c r="J92" s="60">
        <f>IF($A92="","",VLOOKUP($A92,Catalog!$A$2:$N$201,2,FALSE))</f>
        <v/>
      </c>
      <c r="K92" s="76">
        <f>IF($A92="","",VLOOKUP($A92,Catalog!$A$2:$N$201,11,FALSE))</f>
        <v/>
      </c>
      <c r="L92" s="76">
        <f>IF($A92="","",G92*K92)</f>
        <v/>
      </c>
      <c r="M92" s="76">
        <f>IF($A92="","",G92*VLOOKUP($A92,Catalog!$A$2:$N$201,12,FALSE))</f>
        <v/>
      </c>
    </row>
    <row r="93">
      <c r="A93" s="60">
        <f>IF(Catalog!A93="","",Catalog!A93)</f>
        <v/>
      </c>
      <c r="B93" s="60">
        <f>IF($A93="","",VLOOKUP($A93,Catalog!$A$2:$N$201,3,FALSE))</f>
        <v/>
      </c>
      <c r="C93" s="60">
        <f>IF($A93="","",VLOOKUP($A93,Catalog!$A$2:$N$201,4,FALSE))</f>
        <v/>
      </c>
      <c r="D93" s="56">
        <f>IF($A93="","",SUMIFS(Transactions!$H$2:$H$1001,Transactions!$B$2:$B$1001,$A93,Transactions!$E$2:$E$1001,"Studio"))</f>
        <v/>
      </c>
      <c r="E93" s="56">
        <f>IF($A93="","",SUMIFS(Transactions!$H$2:$H$1001,Transactions!$B$2:$B$1001,$A93,Transactions!$E$2:$E$1001,"Knokke"))</f>
        <v/>
      </c>
      <c r="F93" s="56">
        <f>IF($A93="","",SUMIFS(Transactions!$H$2:$H$1001,Transactions!$B$2:$B$1001,$A93,Transactions!$E$2:$E$1001,"Warehouse"))</f>
        <v/>
      </c>
      <c r="G93" s="56">
        <f>IF($A93="","",SUM(D93:F93))</f>
        <v/>
      </c>
      <c r="H93" s="60">
        <f>IF($A93="","",VLOOKUP($A93,Catalog!$A$2:$N$201,13,FALSE))</f>
        <v/>
      </c>
      <c r="I93" s="60">
        <f>IF($A93="","",IF(G93&lt;=0,"Out of stock",IF(G93&lt;=H93,"Reorder","Healthy")))</f>
        <v/>
      </c>
      <c r="J93" s="60">
        <f>IF($A93="","",VLOOKUP($A93,Catalog!$A$2:$N$201,2,FALSE))</f>
        <v/>
      </c>
      <c r="K93" s="76">
        <f>IF($A93="","",VLOOKUP($A93,Catalog!$A$2:$N$201,11,FALSE))</f>
        <v/>
      </c>
      <c r="L93" s="76">
        <f>IF($A93="","",G93*K93)</f>
        <v/>
      </c>
      <c r="M93" s="76">
        <f>IF($A93="","",G93*VLOOKUP($A93,Catalog!$A$2:$N$201,12,FALSE))</f>
        <v/>
      </c>
    </row>
    <row r="94">
      <c r="A94" s="60">
        <f>IF(Catalog!A94="","",Catalog!A94)</f>
        <v/>
      </c>
      <c r="B94" s="60">
        <f>IF($A94="","",VLOOKUP($A94,Catalog!$A$2:$N$201,3,FALSE))</f>
        <v/>
      </c>
      <c r="C94" s="60">
        <f>IF($A94="","",VLOOKUP($A94,Catalog!$A$2:$N$201,4,FALSE))</f>
        <v/>
      </c>
      <c r="D94" s="56">
        <f>IF($A94="","",SUMIFS(Transactions!$H$2:$H$1001,Transactions!$B$2:$B$1001,$A94,Transactions!$E$2:$E$1001,"Studio"))</f>
        <v/>
      </c>
      <c r="E94" s="56">
        <f>IF($A94="","",SUMIFS(Transactions!$H$2:$H$1001,Transactions!$B$2:$B$1001,$A94,Transactions!$E$2:$E$1001,"Knokke"))</f>
        <v/>
      </c>
      <c r="F94" s="56">
        <f>IF($A94="","",SUMIFS(Transactions!$H$2:$H$1001,Transactions!$B$2:$B$1001,$A94,Transactions!$E$2:$E$1001,"Warehouse"))</f>
        <v/>
      </c>
      <c r="G94" s="56">
        <f>IF($A94="","",SUM(D94:F94))</f>
        <v/>
      </c>
      <c r="H94" s="60">
        <f>IF($A94="","",VLOOKUP($A94,Catalog!$A$2:$N$201,13,FALSE))</f>
        <v/>
      </c>
      <c r="I94" s="60">
        <f>IF($A94="","",IF(G94&lt;=0,"Out of stock",IF(G94&lt;=H94,"Reorder","Healthy")))</f>
        <v/>
      </c>
      <c r="J94" s="60">
        <f>IF($A94="","",VLOOKUP($A94,Catalog!$A$2:$N$201,2,FALSE))</f>
        <v/>
      </c>
      <c r="K94" s="76">
        <f>IF($A94="","",VLOOKUP($A94,Catalog!$A$2:$N$201,11,FALSE))</f>
        <v/>
      </c>
      <c r="L94" s="76">
        <f>IF($A94="","",G94*K94)</f>
        <v/>
      </c>
      <c r="M94" s="76">
        <f>IF($A94="","",G94*VLOOKUP($A94,Catalog!$A$2:$N$201,12,FALSE))</f>
        <v/>
      </c>
    </row>
    <row r="95">
      <c r="A95" s="60">
        <f>IF(Catalog!A95="","",Catalog!A95)</f>
        <v/>
      </c>
      <c r="B95" s="60">
        <f>IF($A95="","",VLOOKUP($A95,Catalog!$A$2:$N$201,3,FALSE))</f>
        <v/>
      </c>
      <c r="C95" s="60">
        <f>IF($A95="","",VLOOKUP($A95,Catalog!$A$2:$N$201,4,FALSE))</f>
        <v/>
      </c>
      <c r="D95" s="56">
        <f>IF($A95="","",SUMIFS(Transactions!$H$2:$H$1001,Transactions!$B$2:$B$1001,$A95,Transactions!$E$2:$E$1001,"Studio"))</f>
        <v/>
      </c>
      <c r="E95" s="56">
        <f>IF($A95="","",SUMIFS(Transactions!$H$2:$H$1001,Transactions!$B$2:$B$1001,$A95,Transactions!$E$2:$E$1001,"Knokke"))</f>
        <v/>
      </c>
      <c r="F95" s="56">
        <f>IF($A95="","",SUMIFS(Transactions!$H$2:$H$1001,Transactions!$B$2:$B$1001,$A95,Transactions!$E$2:$E$1001,"Warehouse"))</f>
        <v/>
      </c>
      <c r="G95" s="56">
        <f>IF($A95="","",SUM(D95:F95))</f>
        <v/>
      </c>
      <c r="H95" s="60">
        <f>IF($A95="","",VLOOKUP($A95,Catalog!$A$2:$N$201,13,FALSE))</f>
        <v/>
      </c>
      <c r="I95" s="60">
        <f>IF($A95="","",IF(G95&lt;=0,"Out of stock",IF(G95&lt;=H95,"Reorder","Healthy")))</f>
        <v/>
      </c>
      <c r="J95" s="60">
        <f>IF($A95="","",VLOOKUP($A95,Catalog!$A$2:$N$201,2,FALSE))</f>
        <v/>
      </c>
      <c r="K95" s="76">
        <f>IF($A95="","",VLOOKUP($A95,Catalog!$A$2:$N$201,11,FALSE))</f>
        <v/>
      </c>
      <c r="L95" s="76">
        <f>IF($A95="","",G95*K95)</f>
        <v/>
      </c>
      <c r="M95" s="76">
        <f>IF($A95="","",G95*VLOOKUP($A95,Catalog!$A$2:$N$201,12,FALSE))</f>
        <v/>
      </c>
    </row>
    <row r="96">
      <c r="A96" s="60">
        <f>IF(Catalog!A96="","",Catalog!A96)</f>
        <v/>
      </c>
      <c r="B96" s="60">
        <f>IF($A96="","",VLOOKUP($A96,Catalog!$A$2:$N$201,3,FALSE))</f>
        <v/>
      </c>
      <c r="C96" s="60">
        <f>IF($A96="","",VLOOKUP($A96,Catalog!$A$2:$N$201,4,FALSE))</f>
        <v/>
      </c>
      <c r="D96" s="56">
        <f>IF($A96="","",SUMIFS(Transactions!$H$2:$H$1001,Transactions!$B$2:$B$1001,$A96,Transactions!$E$2:$E$1001,"Studio"))</f>
        <v/>
      </c>
      <c r="E96" s="56">
        <f>IF($A96="","",SUMIFS(Transactions!$H$2:$H$1001,Transactions!$B$2:$B$1001,$A96,Transactions!$E$2:$E$1001,"Knokke"))</f>
        <v/>
      </c>
      <c r="F96" s="56">
        <f>IF($A96="","",SUMIFS(Transactions!$H$2:$H$1001,Transactions!$B$2:$B$1001,$A96,Transactions!$E$2:$E$1001,"Warehouse"))</f>
        <v/>
      </c>
      <c r="G96" s="56">
        <f>IF($A96="","",SUM(D96:F96))</f>
        <v/>
      </c>
      <c r="H96" s="60">
        <f>IF($A96="","",VLOOKUP($A96,Catalog!$A$2:$N$201,13,FALSE))</f>
        <v/>
      </c>
      <c r="I96" s="60">
        <f>IF($A96="","",IF(G96&lt;=0,"Out of stock",IF(G96&lt;=H96,"Reorder","Healthy")))</f>
        <v/>
      </c>
      <c r="J96" s="60">
        <f>IF($A96="","",VLOOKUP($A96,Catalog!$A$2:$N$201,2,FALSE))</f>
        <v/>
      </c>
      <c r="K96" s="76">
        <f>IF($A96="","",VLOOKUP($A96,Catalog!$A$2:$N$201,11,FALSE))</f>
        <v/>
      </c>
      <c r="L96" s="76">
        <f>IF($A96="","",G96*K96)</f>
        <v/>
      </c>
      <c r="M96" s="76">
        <f>IF($A96="","",G96*VLOOKUP($A96,Catalog!$A$2:$N$201,12,FALSE))</f>
        <v/>
      </c>
    </row>
    <row r="97">
      <c r="A97" s="60">
        <f>IF(Catalog!A97="","",Catalog!A97)</f>
        <v/>
      </c>
      <c r="B97" s="60">
        <f>IF($A97="","",VLOOKUP($A97,Catalog!$A$2:$N$201,3,FALSE))</f>
        <v/>
      </c>
      <c r="C97" s="60">
        <f>IF($A97="","",VLOOKUP($A97,Catalog!$A$2:$N$201,4,FALSE))</f>
        <v/>
      </c>
      <c r="D97" s="56">
        <f>IF($A97="","",SUMIFS(Transactions!$H$2:$H$1001,Transactions!$B$2:$B$1001,$A97,Transactions!$E$2:$E$1001,"Studio"))</f>
        <v/>
      </c>
      <c r="E97" s="56">
        <f>IF($A97="","",SUMIFS(Transactions!$H$2:$H$1001,Transactions!$B$2:$B$1001,$A97,Transactions!$E$2:$E$1001,"Knokke"))</f>
        <v/>
      </c>
      <c r="F97" s="56">
        <f>IF($A97="","",SUMIFS(Transactions!$H$2:$H$1001,Transactions!$B$2:$B$1001,$A97,Transactions!$E$2:$E$1001,"Warehouse"))</f>
        <v/>
      </c>
      <c r="G97" s="56">
        <f>IF($A97="","",SUM(D97:F97))</f>
        <v/>
      </c>
      <c r="H97" s="60">
        <f>IF($A97="","",VLOOKUP($A97,Catalog!$A$2:$N$201,13,FALSE))</f>
        <v/>
      </c>
      <c r="I97" s="60">
        <f>IF($A97="","",IF(G97&lt;=0,"Out of stock",IF(G97&lt;=H97,"Reorder","Healthy")))</f>
        <v/>
      </c>
      <c r="J97" s="60">
        <f>IF($A97="","",VLOOKUP($A97,Catalog!$A$2:$N$201,2,FALSE))</f>
        <v/>
      </c>
      <c r="K97" s="76">
        <f>IF($A97="","",VLOOKUP($A97,Catalog!$A$2:$N$201,11,FALSE))</f>
        <v/>
      </c>
      <c r="L97" s="76">
        <f>IF($A97="","",G97*K97)</f>
        <v/>
      </c>
      <c r="M97" s="76">
        <f>IF($A97="","",G97*VLOOKUP($A97,Catalog!$A$2:$N$201,12,FALSE))</f>
        <v/>
      </c>
    </row>
    <row r="98">
      <c r="A98" s="60">
        <f>IF(Catalog!A98="","",Catalog!A98)</f>
        <v/>
      </c>
      <c r="B98" s="60">
        <f>IF($A98="","",VLOOKUP($A98,Catalog!$A$2:$N$201,3,FALSE))</f>
        <v/>
      </c>
      <c r="C98" s="60">
        <f>IF($A98="","",VLOOKUP($A98,Catalog!$A$2:$N$201,4,FALSE))</f>
        <v/>
      </c>
      <c r="D98" s="56">
        <f>IF($A98="","",SUMIFS(Transactions!$H$2:$H$1001,Transactions!$B$2:$B$1001,$A98,Transactions!$E$2:$E$1001,"Studio"))</f>
        <v/>
      </c>
      <c r="E98" s="56">
        <f>IF($A98="","",SUMIFS(Transactions!$H$2:$H$1001,Transactions!$B$2:$B$1001,$A98,Transactions!$E$2:$E$1001,"Knokke"))</f>
        <v/>
      </c>
      <c r="F98" s="56">
        <f>IF($A98="","",SUMIFS(Transactions!$H$2:$H$1001,Transactions!$B$2:$B$1001,$A98,Transactions!$E$2:$E$1001,"Warehouse"))</f>
        <v/>
      </c>
      <c r="G98" s="56">
        <f>IF($A98="","",SUM(D98:F98))</f>
        <v/>
      </c>
      <c r="H98" s="60">
        <f>IF($A98="","",VLOOKUP($A98,Catalog!$A$2:$N$201,13,FALSE))</f>
        <v/>
      </c>
      <c r="I98" s="60">
        <f>IF($A98="","",IF(G98&lt;=0,"Out of stock",IF(G98&lt;=H98,"Reorder","Healthy")))</f>
        <v/>
      </c>
      <c r="J98" s="60">
        <f>IF($A98="","",VLOOKUP($A98,Catalog!$A$2:$N$201,2,FALSE))</f>
        <v/>
      </c>
      <c r="K98" s="76">
        <f>IF($A98="","",VLOOKUP($A98,Catalog!$A$2:$N$201,11,FALSE))</f>
        <v/>
      </c>
      <c r="L98" s="76">
        <f>IF($A98="","",G98*K98)</f>
        <v/>
      </c>
      <c r="M98" s="76">
        <f>IF($A98="","",G98*VLOOKUP($A98,Catalog!$A$2:$N$201,12,FALSE))</f>
        <v/>
      </c>
    </row>
    <row r="99">
      <c r="A99" s="60">
        <f>IF(Catalog!A99="","",Catalog!A99)</f>
        <v/>
      </c>
      <c r="B99" s="60">
        <f>IF($A99="","",VLOOKUP($A99,Catalog!$A$2:$N$201,3,FALSE))</f>
        <v/>
      </c>
      <c r="C99" s="60">
        <f>IF($A99="","",VLOOKUP($A99,Catalog!$A$2:$N$201,4,FALSE))</f>
        <v/>
      </c>
      <c r="D99" s="56">
        <f>IF($A99="","",SUMIFS(Transactions!$H$2:$H$1001,Transactions!$B$2:$B$1001,$A99,Transactions!$E$2:$E$1001,"Studio"))</f>
        <v/>
      </c>
      <c r="E99" s="56">
        <f>IF($A99="","",SUMIFS(Transactions!$H$2:$H$1001,Transactions!$B$2:$B$1001,$A99,Transactions!$E$2:$E$1001,"Knokke"))</f>
        <v/>
      </c>
      <c r="F99" s="56">
        <f>IF($A99="","",SUMIFS(Transactions!$H$2:$H$1001,Transactions!$B$2:$B$1001,$A99,Transactions!$E$2:$E$1001,"Warehouse"))</f>
        <v/>
      </c>
      <c r="G99" s="56">
        <f>IF($A99="","",SUM(D99:F99))</f>
        <v/>
      </c>
      <c r="H99" s="60">
        <f>IF($A99="","",VLOOKUP($A99,Catalog!$A$2:$N$201,13,FALSE))</f>
        <v/>
      </c>
      <c r="I99" s="60">
        <f>IF($A99="","",IF(G99&lt;=0,"Out of stock",IF(G99&lt;=H99,"Reorder","Healthy")))</f>
        <v/>
      </c>
      <c r="J99" s="60">
        <f>IF($A99="","",VLOOKUP($A99,Catalog!$A$2:$N$201,2,FALSE))</f>
        <v/>
      </c>
      <c r="K99" s="76">
        <f>IF($A99="","",VLOOKUP($A99,Catalog!$A$2:$N$201,11,FALSE))</f>
        <v/>
      </c>
      <c r="L99" s="76">
        <f>IF($A99="","",G99*K99)</f>
        <v/>
      </c>
      <c r="M99" s="76">
        <f>IF($A99="","",G99*VLOOKUP($A99,Catalog!$A$2:$N$201,12,FALSE))</f>
        <v/>
      </c>
    </row>
    <row r="100">
      <c r="A100" s="60">
        <f>IF(Catalog!A100="","",Catalog!A100)</f>
        <v/>
      </c>
      <c r="B100" s="60">
        <f>IF($A100="","",VLOOKUP($A100,Catalog!$A$2:$N$201,3,FALSE))</f>
        <v/>
      </c>
      <c r="C100" s="60">
        <f>IF($A100="","",VLOOKUP($A100,Catalog!$A$2:$N$201,4,FALSE))</f>
        <v/>
      </c>
      <c r="D100" s="56">
        <f>IF($A100="","",SUMIFS(Transactions!$H$2:$H$1001,Transactions!$B$2:$B$1001,$A100,Transactions!$E$2:$E$1001,"Studio"))</f>
        <v/>
      </c>
      <c r="E100" s="56">
        <f>IF($A100="","",SUMIFS(Transactions!$H$2:$H$1001,Transactions!$B$2:$B$1001,$A100,Transactions!$E$2:$E$1001,"Knokke"))</f>
        <v/>
      </c>
      <c r="F100" s="56">
        <f>IF($A100="","",SUMIFS(Transactions!$H$2:$H$1001,Transactions!$B$2:$B$1001,$A100,Transactions!$E$2:$E$1001,"Warehouse"))</f>
        <v/>
      </c>
      <c r="G100" s="56">
        <f>IF($A100="","",SUM(D100:F100))</f>
        <v/>
      </c>
      <c r="H100" s="60">
        <f>IF($A100="","",VLOOKUP($A100,Catalog!$A$2:$N$201,13,FALSE))</f>
        <v/>
      </c>
      <c r="I100" s="60">
        <f>IF($A100="","",IF(G100&lt;=0,"Out of stock",IF(G100&lt;=H100,"Reorder","Healthy")))</f>
        <v/>
      </c>
      <c r="J100" s="60">
        <f>IF($A100="","",VLOOKUP($A100,Catalog!$A$2:$N$201,2,FALSE))</f>
        <v/>
      </c>
      <c r="K100" s="76">
        <f>IF($A100="","",VLOOKUP($A100,Catalog!$A$2:$N$201,11,FALSE))</f>
        <v/>
      </c>
      <c r="L100" s="76">
        <f>IF($A100="","",G100*K100)</f>
        <v/>
      </c>
      <c r="M100" s="76">
        <f>IF($A100="","",G100*VLOOKUP($A100,Catalog!$A$2:$N$201,12,FALSE))</f>
        <v/>
      </c>
    </row>
    <row r="101">
      <c r="A101" s="60">
        <f>IF(Catalog!A101="","",Catalog!A101)</f>
        <v/>
      </c>
      <c r="B101" s="60">
        <f>IF($A101="","",VLOOKUP($A101,Catalog!$A$2:$N$201,3,FALSE))</f>
        <v/>
      </c>
      <c r="C101" s="60">
        <f>IF($A101="","",VLOOKUP($A101,Catalog!$A$2:$N$201,4,FALSE))</f>
        <v/>
      </c>
      <c r="D101" s="56">
        <f>IF($A101="","",SUMIFS(Transactions!$H$2:$H$1001,Transactions!$B$2:$B$1001,$A101,Transactions!$E$2:$E$1001,"Studio"))</f>
        <v/>
      </c>
      <c r="E101" s="56">
        <f>IF($A101="","",SUMIFS(Transactions!$H$2:$H$1001,Transactions!$B$2:$B$1001,$A101,Transactions!$E$2:$E$1001,"Knokke"))</f>
        <v/>
      </c>
      <c r="F101" s="56">
        <f>IF($A101="","",SUMIFS(Transactions!$H$2:$H$1001,Transactions!$B$2:$B$1001,$A101,Transactions!$E$2:$E$1001,"Warehouse"))</f>
        <v/>
      </c>
      <c r="G101" s="56">
        <f>IF($A101="","",SUM(D101:F101))</f>
        <v/>
      </c>
      <c r="H101" s="60">
        <f>IF($A101="","",VLOOKUP($A101,Catalog!$A$2:$N$201,13,FALSE))</f>
        <v/>
      </c>
      <c r="I101" s="60">
        <f>IF($A101="","",IF(G101&lt;=0,"Out of stock",IF(G101&lt;=H101,"Reorder","Healthy")))</f>
        <v/>
      </c>
      <c r="J101" s="60">
        <f>IF($A101="","",VLOOKUP($A101,Catalog!$A$2:$N$201,2,FALSE))</f>
        <v/>
      </c>
      <c r="K101" s="76">
        <f>IF($A101="","",VLOOKUP($A101,Catalog!$A$2:$N$201,11,FALSE))</f>
        <v/>
      </c>
      <c r="L101" s="76">
        <f>IF($A101="","",G101*K101)</f>
        <v/>
      </c>
      <c r="M101" s="76">
        <f>IF($A101="","",G101*VLOOKUP($A101,Catalog!$A$2:$N$201,12,FALSE))</f>
        <v/>
      </c>
    </row>
    <row r="102">
      <c r="A102" s="60">
        <f>IF(Catalog!A102="","",Catalog!A102)</f>
        <v/>
      </c>
      <c r="B102" s="60">
        <f>IF($A102="","",VLOOKUP($A102,Catalog!$A$2:$N$201,3,FALSE))</f>
        <v/>
      </c>
      <c r="C102" s="60">
        <f>IF($A102="","",VLOOKUP($A102,Catalog!$A$2:$N$201,4,FALSE))</f>
        <v/>
      </c>
      <c r="D102" s="56">
        <f>IF($A102="","",SUMIFS(Transactions!$H$2:$H$1001,Transactions!$B$2:$B$1001,$A102,Transactions!$E$2:$E$1001,"Studio"))</f>
        <v/>
      </c>
      <c r="E102" s="56">
        <f>IF($A102="","",SUMIFS(Transactions!$H$2:$H$1001,Transactions!$B$2:$B$1001,$A102,Transactions!$E$2:$E$1001,"Knokke"))</f>
        <v/>
      </c>
      <c r="F102" s="56">
        <f>IF($A102="","",SUMIFS(Transactions!$H$2:$H$1001,Transactions!$B$2:$B$1001,$A102,Transactions!$E$2:$E$1001,"Warehouse"))</f>
        <v/>
      </c>
      <c r="G102" s="56">
        <f>IF($A102="","",SUM(D102:F102))</f>
        <v/>
      </c>
      <c r="H102" s="60">
        <f>IF($A102="","",VLOOKUP($A102,Catalog!$A$2:$N$201,13,FALSE))</f>
        <v/>
      </c>
      <c r="I102" s="60">
        <f>IF($A102="","",IF(G102&lt;=0,"Out of stock",IF(G102&lt;=H102,"Reorder","Healthy")))</f>
        <v/>
      </c>
      <c r="J102" s="60">
        <f>IF($A102="","",VLOOKUP($A102,Catalog!$A$2:$N$201,2,FALSE))</f>
        <v/>
      </c>
      <c r="K102" s="76">
        <f>IF($A102="","",VLOOKUP($A102,Catalog!$A$2:$N$201,11,FALSE))</f>
        <v/>
      </c>
      <c r="L102" s="76">
        <f>IF($A102="","",G102*K102)</f>
        <v/>
      </c>
      <c r="M102" s="76">
        <f>IF($A102="","",G102*VLOOKUP($A102,Catalog!$A$2:$N$201,12,FALSE))</f>
        <v/>
      </c>
    </row>
    <row r="103">
      <c r="A103" s="60">
        <f>IF(Catalog!A103="","",Catalog!A103)</f>
        <v/>
      </c>
      <c r="B103" s="60">
        <f>IF($A103="","",VLOOKUP($A103,Catalog!$A$2:$N$201,3,FALSE))</f>
        <v/>
      </c>
      <c r="C103" s="60">
        <f>IF($A103="","",VLOOKUP($A103,Catalog!$A$2:$N$201,4,FALSE))</f>
        <v/>
      </c>
      <c r="D103" s="56">
        <f>IF($A103="","",SUMIFS(Transactions!$H$2:$H$1001,Transactions!$B$2:$B$1001,$A103,Transactions!$E$2:$E$1001,"Studio"))</f>
        <v/>
      </c>
      <c r="E103" s="56">
        <f>IF($A103="","",SUMIFS(Transactions!$H$2:$H$1001,Transactions!$B$2:$B$1001,$A103,Transactions!$E$2:$E$1001,"Knokke"))</f>
        <v/>
      </c>
      <c r="F103" s="56">
        <f>IF($A103="","",SUMIFS(Transactions!$H$2:$H$1001,Transactions!$B$2:$B$1001,$A103,Transactions!$E$2:$E$1001,"Warehouse"))</f>
        <v/>
      </c>
      <c r="G103" s="56">
        <f>IF($A103="","",SUM(D103:F103))</f>
        <v/>
      </c>
      <c r="H103" s="60">
        <f>IF($A103="","",VLOOKUP($A103,Catalog!$A$2:$N$201,13,FALSE))</f>
        <v/>
      </c>
      <c r="I103" s="60">
        <f>IF($A103="","",IF(G103&lt;=0,"Out of stock",IF(G103&lt;=H103,"Reorder","Healthy")))</f>
        <v/>
      </c>
      <c r="J103" s="60">
        <f>IF($A103="","",VLOOKUP($A103,Catalog!$A$2:$N$201,2,FALSE))</f>
        <v/>
      </c>
      <c r="K103" s="76">
        <f>IF($A103="","",VLOOKUP($A103,Catalog!$A$2:$N$201,11,FALSE))</f>
        <v/>
      </c>
      <c r="L103" s="76">
        <f>IF($A103="","",G103*K103)</f>
        <v/>
      </c>
      <c r="M103" s="76">
        <f>IF($A103="","",G103*VLOOKUP($A103,Catalog!$A$2:$N$201,12,FALSE))</f>
        <v/>
      </c>
    </row>
    <row r="104">
      <c r="A104" s="60">
        <f>IF(Catalog!A104="","",Catalog!A104)</f>
        <v/>
      </c>
      <c r="B104" s="60">
        <f>IF($A104="","",VLOOKUP($A104,Catalog!$A$2:$N$201,3,FALSE))</f>
        <v/>
      </c>
      <c r="C104" s="60">
        <f>IF($A104="","",VLOOKUP($A104,Catalog!$A$2:$N$201,4,FALSE))</f>
        <v/>
      </c>
      <c r="D104" s="56">
        <f>IF($A104="","",SUMIFS(Transactions!$H$2:$H$1001,Transactions!$B$2:$B$1001,$A104,Transactions!$E$2:$E$1001,"Studio"))</f>
        <v/>
      </c>
      <c r="E104" s="56">
        <f>IF($A104="","",SUMIFS(Transactions!$H$2:$H$1001,Transactions!$B$2:$B$1001,$A104,Transactions!$E$2:$E$1001,"Knokke"))</f>
        <v/>
      </c>
      <c r="F104" s="56">
        <f>IF($A104="","",SUMIFS(Transactions!$H$2:$H$1001,Transactions!$B$2:$B$1001,$A104,Transactions!$E$2:$E$1001,"Warehouse"))</f>
        <v/>
      </c>
      <c r="G104" s="56">
        <f>IF($A104="","",SUM(D104:F104))</f>
        <v/>
      </c>
      <c r="H104" s="60">
        <f>IF($A104="","",VLOOKUP($A104,Catalog!$A$2:$N$201,13,FALSE))</f>
        <v/>
      </c>
      <c r="I104" s="60">
        <f>IF($A104="","",IF(G104&lt;=0,"Out of stock",IF(G104&lt;=H104,"Reorder","Healthy")))</f>
        <v/>
      </c>
      <c r="J104" s="60">
        <f>IF($A104="","",VLOOKUP($A104,Catalog!$A$2:$N$201,2,FALSE))</f>
        <v/>
      </c>
      <c r="K104" s="76">
        <f>IF($A104="","",VLOOKUP($A104,Catalog!$A$2:$N$201,11,FALSE))</f>
        <v/>
      </c>
      <c r="L104" s="76">
        <f>IF($A104="","",G104*K104)</f>
        <v/>
      </c>
      <c r="M104" s="76">
        <f>IF($A104="","",G104*VLOOKUP($A104,Catalog!$A$2:$N$201,12,FALSE))</f>
        <v/>
      </c>
    </row>
    <row r="105">
      <c r="A105" s="60">
        <f>IF(Catalog!A105="","",Catalog!A105)</f>
        <v/>
      </c>
      <c r="B105" s="60">
        <f>IF($A105="","",VLOOKUP($A105,Catalog!$A$2:$N$201,3,FALSE))</f>
        <v/>
      </c>
      <c r="C105" s="60">
        <f>IF($A105="","",VLOOKUP($A105,Catalog!$A$2:$N$201,4,FALSE))</f>
        <v/>
      </c>
      <c r="D105" s="56">
        <f>IF($A105="","",SUMIFS(Transactions!$H$2:$H$1001,Transactions!$B$2:$B$1001,$A105,Transactions!$E$2:$E$1001,"Studio"))</f>
        <v/>
      </c>
      <c r="E105" s="56">
        <f>IF($A105="","",SUMIFS(Transactions!$H$2:$H$1001,Transactions!$B$2:$B$1001,$A105,Transactions!$E$2:$E$1001,"Knokke"))</f>
        <v/>
      </c>
      <c r="F105" s="56">
        <f>IF($A105="","",SUMIFS(Transactions!$H$2:$H$1001,Transactions!$B$2:$B$1001,$A105,Transactions!$E$2:$E$1001,"Warehouse"))</f>
        <v/>
      </c>
      <c r="G105" s="56">
        <f>IF($A105="","",SUM(D105:F105))</f>
        <v/>
      </c>
      <c r="H105" s="60">
        <f>IF($A105="","",VLOOKUP($A105,Catalog!$A$2:$N$201,13,FALSE))</f>
        <v/>
      </c>
      <c r="I105" s="60">
        <f>IF($A105="","",IF(G105&lt;=0,"Out of stock",IF(G105&lt;=H105,"Reorder","Healthy")))</f>
        <v/>
      </c>
      <c r="J105" s="60">
        <f>IF($A105="","",VLOOKUP($A105,Catalog!$A$2:$N$201,2,FALSE))</f>
        <v/>
      </c>
      <c r="K105" s="76">
        <f>IF($A105="","",VLOOKUP($A105,Catalog!$A$2:$N$201,11,FALSE))</f>
        <v/>
      </c>
      <c r="L105" s="76">
        <f>IF($A105="","",G105*K105)</f>
        <v/>
      </c>
      <c r="M105" s="76">
        <f>IF($A105="","",G105*VLOOKUP($A105,Catalog!$A$2:$N$201,12,FALSE))</f>
        <v/>
      </c>
    </row>
    <row r="106">
      <c r="A106" s="60">
        <f>IF(Catalog!A106="","",Catalog!A106)</f>
        <v/>
      </c>
      <c r="B106" s="60">
        <f>IF($A106="","",VLOOKUP($A106,Catalog!$A$2:$N$201,3,FALSE))</f>
        <v/>
      </c>
      <c r="C106" s="60">
        <f>IF($A106="","",VLOOKUP($A106,Catalog!$A$2:$N$201,4,FALSE))</f>
        <v/>
      </c>
      <c r="D106" s="56">
        <f>IF($A106="","",SUMIFS(Transactions!$H$2:$H$1001,Transactions!$B$2:$B$1001,$A106,Transactions!$E$2:$E$1001,"Studio"))</f>
        <v/>
      </c>
      <c r="E106" s="56">
        <f>IF($A106="","",SUMIFS(Transactions!$H$2:$H$1001,Transactions!$B$2:$B$1001,$A106,Transactions!$E$2:$E$1001,"Knokke"))</f>
        <v/>
      </c>
      <c r="F106" s="56">
        <f>IF($A106="","",SUMIFS(Transactions!$H$2:$H$1001,Transactions!$B$2:$B$1001,$A106,Transactions!$E$2:$E$1001,"Warehouse"))</f>
        <v/>
      </c>
      <c r="G106" s="56">
        <f>IF($A106="","",SUM(D106:F106))</f>
        <v/>
      </c>
      <c r="H106" s="60">
        <f>IF($A106="","",VLOOKUP($A106,Catalog!$A$2:$N$201,13,FALSE))</f>
        <v/>
      </c>
      <c r="I106" s="60">
        <f>IF($A106="","",IF(G106&lt;=0,"Out of stock",IF(G106&lt;=H106,"Reorder","Healthy")))</f>
        <v/>
      </c>
      <c r="J106" s="60">
        <f>IF($A106="","",VLOOKUP($A106,Catalog!$A$2:$N$201,2,FALSE))</f>
        <v/>
      </c>
      <c r="K106" s="76">
        <f>IF($A106="","",VLOOKUP($A106,Catalog!$A$2:$N$201,11,FALSE))</f>
        <v/>
      </c>
      <c r="L106" s="76">
        <f>IF($A106="","",G106*K106)</f>
        <v/>
      </c>
      <c r="M106" s="76">
        <f>IF($A106="","",G106*VLOOKUP($A106,Catalog!$A$2:$N$201,12,FALSE))</f>
        <v/>
      </c>
    </row>
    <row r="107">
      <c r="A107" s="60">
        <f>IF(Catalog!A107="","",Catalog!A107)</f>
        <v/>
      </c>
      <c r="B107" s="60">
        <f>IF($A107="","",VLOOKUP($A107,Catalog!$A$2:$N$201,3,FALSE))</f>
        <v/>
      </c>
      <c r="C107" s="60">
        <f>IF($A107="","",VLOOKUP($A107,Catalog!$A$2:$N$201,4,FALSE))</f>
        <v/>
      </c>
      <c r="D107" s="56">
        <f>IF($A107="","",SUMIFS(Transactions!$H$2:$H$1001,Transactions!$B$2:$B$1001,$A107,Transactions!$E$2:$E$1001,"Studio"))</f>
        <v/>
      </c>
      <c r="E107" s="56">
        <f>IF($A107="","",SUMIFS(Transactions!$H$2:$H$1001,Transactions!$B$2:$B$1001,$A107,Transactions!$E$2:$E$1001,"Knokke"))</f>
        <v/>
      </c>
      <c r="F107" s="56">
        <f>IF($A107="","",SUMIFS(Transactions!$H$2:$H$1001,Transactions!$B$2:$B$1001,$A107,Transactions!$E$2:$E$1001,"Warehouse"))</f>
        <v/>
      </c>
      <c r="G107" s="56">
        <f>IF($A107="","",SUM(D107:F107))</f>
        <v/>
      </c>
      <c r="H107" s="60">
        <f>IF($A107="","",VLOOKUP($A107,Catalog!$A$2:$N$201,13,FALSE))</f>
        <v/>
      </c>
      <c r="I107" s="60">
        <f>IF($A107="","",IF(G107&lt;=0,"Out of stock",IF(G107&lt;=H107,"Reorder","Healthy")))</f>
        <v/>
      </c>
      <c r="J107" s="60">
        <f>IF($A107="","",VLOOKUP($A107,Catalog!$A$2:$N$201,2,FALSE))</f>
        <v/>
      </c>
      <c r="K107" s="76">
        <f>IF($A107="","",VLOOKUP($A107,Catalog!$A$2:$N$201,11,FALSE))</f>
        <v/>
      </c>
      <c r="L107" s="76">
        <f>IF($A107="","",G107*K107)</f>
        <v/>
      </c>
      <c r="M107" s="76">
        <f>IF($A107="","",G107*VLOOKUP($A107,Catalog!$A$2:$N$201,12,FALSE))</f>
        <v/>
      </c>
    </row>
    <row r="108">
      <c r="A108" s="60">
        <f>IF(Catalog!A108="","",Catalog!A108)</f>
        <v/>
      </c>
      <c r="B108" s="60">
        <f>IF($A108="","",VLOOKUP($A108,Catalog!$A$2:$N$201,3,FALSE))</f>
        <v/>
      </c>
      <c r="C108" s="60">
        <f>IF($A108="","",VLOOKUP($A108,Catalog!$A$2:$N$201,4,FALSE))</f>
        <v/>
      </c>
      <c r="D108" s="56">
        <f>IF($A108="","",SUMIFS(Transactions!$H$2:$H$1001,Transactions!$B$2:$B$1001,$A108,Transactions!$E$2:$E$1001,"Studio"))</f>
        <v/>
      </c>
      <c r="E108" s="56">
        <f>IF($A108="","",SUMIFS(Transactions!$H$2:$H$1001,Transactions!$B$2:$B$1001,$A108,Transactions!$E$2:$E$1001,"Knokke"))</f>
        <v/>
      </c>
      <c r="F108" s="56">
        <f>IF($A108="","",SUMIFS(Transactions!$H$2:$H$1001,Transactions!$B$2:$B$1001,$A108,Transactions!$E$2:$E$1001,"Warehouse"))</f>
        <v/>
      </c>
      <c r="G108" s="56">
        <f>IF($A108="","",SUM(D108:F108))</f>
        <v/>
      </c>
      <c r="H108" s="60">
        <f>IF($A108="","",VLOOKUP($A108,Catalog!$A$2:$N$201,13,FALSE))</f>
        <v/>
      </c>
      <c r="I108" s="60">
        <f>IF($A108="","",IF(G108&lt;=0,"Out of stock",IF(G108&lt;=H108,"Reorder","Healthy")))</f>
        <v/>
      </c>
      <c r="J108" s="60">
        <f>IF($A108="","",VLOOKUP($A108,Catalog!$A$2:$N$201,2,FALSE))</f>
        <v/>
      </c>
      <c r="K108" s="76">
        <f>IF($A108="","",VLOOKUP($A108,Catalog!$A$2:$N$201,11,FALSE))</f>
        <v/>
      </c>
      <c r="L108" s="76">
        <f>IF($A108="","",G108*K108)</f>
        <v/>
      </c>
      <c r="M108" s="76">
        <f>IF($A108="","",G108*VLOOKUP($A108,Catalog!$A$2:$N$201,12,FALSE))</f>
        <v/>
      </c>
    </row>
    <row r="109">
      <c r="A109" s="60">
        <f>IF(Catalog!A109="","",Catalog!A109)</f>
        <v/>
      </c>
      <c r="B109" s="60">
        <f>IF($A109="","",VLOOKUP($A109,Catalog!$A$2:$N$201,3,FALSE))</f>
        <v/>
      </c>
      <c r="C109" s="60">
        <f>IF($A109="","",VLOOKUP($A109,Catalog!$A$2:$N$201,4,FALSE))</f>
        <v/>
      </c>
      <c r="D109" s="56">
        <f>IF($A109="","",SUMIFS(Transactions!$H$2:$H$1001,Transactions!$B$2:$B$1001,$A109,Transactions!$E$2:$E$1001,"Studio"))</f>
        <v/>
      </c>
      <c r="E109" s="56">
        <f>IF($A109="","",SUMIFS(Transactions!$H$2:$H$1001,Transactions!$B$2:$B$1001,$A109,Transactions!$E$2:$E$1001,"Knokke"))</f>
        <v/>
      </c>
      <c r="F109" s="56">
        <f>IF($A109="","",SUMIFS(Transactions!$H$2:$H$1001,Transactions!$B$2:$B$1001,$A109,Transactions!$E$2:$E$1001,"Warehouse"))</f>
        <v/>
      </c>
      <c r="G109" s="56">
        <f>IF($A109="","",SUM(D109:F109))</f>
        <v/>
      </c>
      <c r="H109" s="60">
        <f>IF($A109="","",VLOOKUP($A109,Catalog!$A$2:$N$201,13,FALSE))</f>
        <v/>
      </c>
      <c r="I109" s="60">
        <f>IF($A109="","",IF(G109&lt;=0,"Out of stock",IF(G109&lt;=H109,"Reorder","Healthy")))</f>
        <v/>
      </c>
      <c r="J109" s="60">
        <f>IF($A109="","",VLOOKUP($A109,Catalog!$A$2:$N$201,2,FALSE))</f>
        <v/>
      </c>
      <c r="K109" s="76">
        <f>IF($A109="","",VLOOKUP($A109,Catalog!$A$2:$N$201,11,FALSE))</f>
        <v/>
      </c>
      <c r="L109" s="76">
        <f>IF($A109="","",G109*K109)</f>
        <v/>
      </c>
      <c r="M109" s="76">
        <f>IF($A109="","",G109*VLOOKUP($A109,Catalog!$A$2:$N$201,12,FALSE))</f>
        <v/>
      </c>
    </row>
    <row r="110">
      <c r="A110" s="60">
        <f>IF(Catalog!A110="","",Catalog!A110)</f>
        <v/>
      </c>
      <c r="B110" s="60">
        <f>IF($A110="","",VLOOKUP($A110,Catalog!$A$2:$N$201,3,FALSE))</f>
        <v/>
      </c>
      <c r="C110" s="60">
        <f>IF($A110="","",VLOOKUP($A110,Catalog!$A$2:$N$201,4,FALSE))</f>
        <v/>
      </c>
      <c r="D110" s="56">
        <f>IF($A110="","",SUMIFS(Transactions!$H$2:$H$1001,Transactions!$B$2:$B$1001,$A110,Transactions!$E$2:$E$1001,"Studio"))</f>
        <v/>
      </c>
      <c r="E110" s="56">
        <f>IF($A110="","",SUMIFS(Transactions!$H$2:$H$1001,Transactions!$B$2:$B$1001,$A110,Transactions!$E$2:$E$1001,"Knokke"))</f>
        <v/>
      </c>
      <c r="F110" s="56">
        <f>IF($A110="","",SUMIFS(Transactions!$H$2:$H$1001,Transactions!$B$2:$B$1001,$A110,Transactions!$E$2:$E$1001,"Warehouse"))</f>
        <v/>
      </c>
      <c r="G110" s="56">
        <f>IF($A110="","",SUM(D110:F110))</f>
        <v/>
      </c>
      <c r="H110" s="60">
        <f>IF($A110="","",VLOOKUP($A110,Catalog!$A$2:$N$201,13,FALSE))</f>
        <v/>
      </c>
      <c r="I110" s="60">
        <f>IF($A110="","",IF(G110&lt;=0,"Out of stock",IF(G110&lt;=H110,"Reorder","Healthy")))</f>
        <v/>
      </c>
      <c r="J110" s="60">
        <f>IF($A110="","",VLOOKUP($A110,Catalog!$A$2:$N$201,2,FALSE))</f>
        <v/>
      </c>
      <c r="K110" s="76">
        <f>IF($A110="","",VLOOKUP($A110,Catalog!$A$2:$N$201,11,FALSE))</f>
        <v/>
      </c>
      <c r="L110" s="76">
        <f>IF($A110="","",G110*K110)</f>
        <v/>
      </c>
      <c r="M110" s="76">
        <f>IF($A110="","",G110*VLOOKUP($A110,Catalog!$A$2:$N$201,12,FALSE))</f>
        <v/>
      </c>
    </row>
    <row r="111">
      <c r="A111" s="60">
        <f>IF(Catalog!A111="","",Catalog!A111)</f>
        <v/>
      </c>
      <c r="B111" s="60">
        <f>IF($A111="","",VLOOKUP($A111,Catalog!$A$2:$N$201,3,FALSE))</f>
        <v/>
      </c>
      <c r="C111" s="60">
        <f>IF($A111="","",VLOOKUP($A111,Catalog!$A$2:$N$201,4,FALSE))</f>
        <v/>
      </c>
      <c r="D111" s="56">
        <f>IF($A111="","",SUMIFS(Transactions!$H$2:$H$1001,Transactions!$B$2:$B$1001,$A111,Transactions!$E$2:$E$1001,"Studio"))</f>
        <v/>
      </c>
      <c r="E111" s="56">
        <f>IF($A111="","",SUMIFS(Transactions!$H$2:$H$1001,Transactions!$B$2:$B$1001,$A111,Transactions!$E$2:$E$1001,"Knokke"))</f>
        <v/>
      </c>
      <c r="F111" s="56">
        <f>IF($A111="","",SUMIFS(Transactions!$H$2:$H$1001,Transactions!$B$2:$B$1001,$A111,Transactions!$E$2:$E$1001,"Warehouse"))</f>
        <v/>
      </c>
      <c r="G111" s="56">
        <f>IF($A111="","",SUM(D111:F111))</f>
        <v/>
      </c>
      <c r="H111" s="60">
        <f>IF($A111="","",VLOOKUP($A111,Catalog!$A$2:$N$201,13,FALSE))</f>
        <v/>
      </c>
      <c r="I111" s="60">
        <f>IF($A111="","",IF(G111&lt;=0,"Out of stock",IF(G111&lt;=H111,"Reorder","Healthy")))</f>
        <v/>
      </c>
      <c r="J111" s="60">
        <f>IF($A111="","",VLOOKUP($A111,Catalog!$A$2:$N$201,2,FALSE))</f>
        <v/>
      </c>
      <c r="K111" s="76">
        <f>IF($A111="","",VLOOKUP($A111,Catalog!$A$2:$N$201,11,FALSE))</f>
        <v/>
      </c>
      <c r="L111" s="76">
        <f>IF($A111="","",G111*K111)</f>
        <v/>
      </c>
      <c r="M111" s="76">
        <f>IF($A111="","",G111*VLOOKUP($A111,Catalog!$A$2:$N$201,12,FALSE))</f>
        <v/>
      </c>
    </row>
    <row r="112">
      <c r="A112" s="60">
        <f>IF(Catalog!A112="","",Catalog!A112)</f>
        <v/>
      </c>
      <c r="B112" s="60">
        <f>IF($A112="","",VLOOKUP($A112,Catalog!$A$2:$N$201,3,FALSE))</f>
        <v/>
      </c>
      <c r="C112" s="60">
        <f>IF($A112="","",VLOOKUP($A112,Catalog!$A$2:$N$201,4,FALSE))</f>
        <v/>
      </c>
      <c r="D112" s="56">
        <f>IF($A112="","",SUMIFS(Transactions!$H$2:$H$1001,Transactions!$B$2:$B$1001,$A112,Transactions!$E$2:$E$1001,"Studio"))</f>
        <v/>
      </c>
      <c r="E112" s="56">
        <f>IF($A112="","",SUMIFS(Transactions!$H$2:$H$1001,Transactions!$B$2:$B$1001,$A112,Transactions!$E$2:$E$1001,"Knokke"))</f>
        <v/>
      </c>
      <c r="F112" s="56">
        <f>IF($A112="","",SUMIFS(Transactions!$H$2:$H$1001,Transactions!$B$2:$B$1001,$A112,Transactions!$E$2:$E$1001,"Warehouse"))</f>
        <v/>
      </c>
      <c r="G112" s="56">
        <f>IF($A112="","",SUM(D112:F112))</f>
        <v/>
      </c>
      <c r="H112" s="60">
        <f>IF($A112="","",VLOOKUP($A112,Catalog!$A$2:$N$201,13,FALSE))</f>
        <v/>
      </c>
      <c r="I112" s="60">
        <f>IF($A112="","",IF(G112&lt;=0,"Out of stock",IF(G112&lt;=H112,"Reorder","Healthy")))</f>
        <v/>
      </c>
      <c r="J112" s="60">
        <f>IF($A112="","",VLOOKUP($A112,Catalog!$A$2:$N$201,2,FALSE))</f>
        <v/>
      </c>
      <c r="K112" s="76">
        <f>IF($A112="","",VLOOKUP($A112,Catalog!$A$2:$N$201,11,FALSE))</f>
        <v/>
      </c>
      <c r="L112" s="76">
        <f>IF($A112="","",G112*K112)</f>
        <v/>
      </c>
      <c r="M112" s="76">
        <f>IF($A112="","",G112*VLOOKUP($A112,Catalog!$A$2:$N$201,12,FALSE))</f>
        <v/>
      </c>
    </row>
    <row r="113">
      <c r="A113" s="60">
        <f>IF(Catalog!A113="","",Catalog!A113)</f>
        <v/>
      </c>
      <c r="B113" s="60">
        <f>IF($A113="","",VLOOKUP($A113,Catalog!$A$2:$N$201,3,FALSE))</f>
        <v/>
      </c>
      <c r="C113" s="60">
        <f>IF($A113="","",VLOOKUP($A113,Catalog!$A$2:$N$201,4,FALSE))</f>
        <v/>
      </c>
      <c r="D113" s="56">
        <f>IF($A113="","",SUMIFS(Transactions!$H$2:$H$1001,Transactions!$B$2:$B$1001,$A113,Transactions!$E$2:$E$1001,"Studio"))</f>
        <v/>
      </c>
      <c r="E113" s="56">
        <f>IF($A113="","",SUMIFS(Transactions!$H$2:$H$1001,Transactions!$B$2:$B$1001,$A113,Transactions!$E$2:$E$1001,"Knokke"))</f>
        <v/>
      </c>
      <c r="F113" s="56">
        <f>IF($A113="","",SUMIFS(Transactions!$H$2:$H$1001,Transactions!$B$2:$B$1001,$A113,Transactions!$E$2:$E$1001,"Warehouse"))</f>
        <v/>
      </c>
      <c r="G113" s="56">
        <f>IF($A113="","",SUM(D113:F113))</f>
        <v/>
      </c>
      <c r="H113" s="60">
        <f>IF($A113="","",VLOOKUP($A113,Catalog!$A$2:$N$201,13,FALSE))</f>
        <v/>
      </c>
      <c r="I113" s="60">
        <f>IF($A113="","",IF(G113&lt;=0,"Out of stock",IF(G113&lt;=H113,"Reorder","Healthy")))</f>
        <v/>
      </c>
      <c r="J113" s="60">
        <f>IF($A113="","",VLOOKUP($A113,Catalog!$A$2:$N$201,2,FALSE))</f>
        <v/>
      </c>
      <c r="K113" s="76">
        <f>IF($A113="","",VLOOKUP($A113,Catalog!$A$2:$N$201,11,FALSE))</f>
        <v/>
      </c>
      <c r="L113" s="76">
        <f>IF($A113="","",G113*K113)</f>
        <v/>
      </c>
      <c r="M113" s="76">
        <f>IF($A113="","",G113*VLOOKUP($A113,Catalog!$A$2:$N$201,12,FALSE))</f>
        <v/>
      </c>
    </row>
    <row r="114">
      <c r="A114" s="60">
        <f>IF(Catalog!A114="","",Catalog!A114)</f>
        <v/>
      </c>
      <c r="B114" s="60">
        <f>IF($A114="","",VLOOKUP($A114,Catalog!$A$2:$N$201,3,FALSE))</f>
        <v/>
      </c>
      <c r="C114" s="60">
        <f>IF($A114="","",VLOOKUP($A114,Catalog!$A$2:$N$201,4,FALSE))</f>
        <v/>
      </c>
      <c r="D114" s="56">
        <f>IF($A114="","",SUMIFS(Transactions!$H$2:$H$1001,Transactions!$B$2:$B$1001,$A114,Transactions!$E$2:$E$1001,"Studio"))</f>
        <v/>
      </c>
      <c r="E114" s="56">
        <f>IF($A114="","",SUMIFS(Transactions!$H$2:$H$1001,Transactions!$B$2:$B$1001,$A114,Transactions!$E$2:$E$1001,"Knokke"))</f>
        <v/>
      </c>
      <c r="F114" s="56">
        <f>IF($A114="","",SUMIFS(Transactions!$H$2:$H$1001,Transactions!$B$2:$B$1001,$A114,Transactions!$E$2:$E$1001,"Warehouse"))</f>
        <v/>
      </c>
      <c r="G114" s="56">
        <f>IF($A114="","",SUM(D114:F114))</f>
        <v/>
      </c>
      <c r="H114" s="60">
        <f>IF($A114="","",VLOOKUP($A114,Catalog!$A$2:$N$201,13,FALSE))</f>
        <v/>
      </c>
      <c r="I114" s="60">
        <f>IF($A114="","",IF(G114&lt;=0,"Out of stock",IF(G114&lt;=H114,"Reorder","Healthy")))</f>
        <v/>
      </c>
      <c r="J114" s="60">
        <f>IF($A114="","",VLOOKUP($A114,Catalog!$A$2:$N$201,2,FALSE))</f>
        <v/>
      </c>
      <c r="K114" s="76">
        <f>IF($A114="","",VLOOKUP($A114,Catalog!$A$2:$N$201,11,FALSE))</f>
        <v/>
      </c>
      <c r="L114" s="76">
        <f>IF($A114="","",G114*K114)</f>
        <v/>
      </c>
      <c r="M114" s="76">
        <f>IF($A114="","",G114*VLOOKUP($A114,Catalog!$A$2:$N$201,12,FALSE))</f>
        <v/>
      </c>
    </row>
    <row r="115">
      <c r="A115" s="60">
        <f>IF(Catalog!A115="","",Catalog!A115)</f>
        <v/>
      </c>
      <c r="B115" s="60">
        <f>IF($A115="","",VLOOKUP($A115,Catalog!$A$2:$N$201,3,FALSE))</f>
        <v/>
      </c>
      <c r="C115" s="60">
        <f>IF($A115="","",VLOOKUP($A115,Catalog!$A$2:$N$201,4,FALSE))</f>
        <v/>
      </c>
      <c r="D115" s="56">
        <f>IF($A115="","",SUMIFS(Transactions!$H$2:$H$1001,Transactions!$B$2:$B$1001,$A115,Transactions!$E$2:$E$1001,"Studio"))</f>
        <v/>
      </c>
      <c r="E115" s="56">
        <f>IF($A115="","",SUMIFS(Transactions!$H$2:$H$1001,Transactions!$B$2:$B$1001,$A115,Transactions!$E$2:$E$1001,"Knokke"))</f>
        <v/>
      </c>
      <c r="F115" s="56">
        <f>IF($A115="","",SUMIFS(Transactions!$H$2:$H$1001,Transactions!$B$2:$B$1001,$A115,Transactions!$E$2:$E$1001,"Warehouse"))</f>
        <v/>
      </c>
      <c r="G115" s="56">
        <f>IF($A115="","",SUM(D115:F115))</f>
        <v/>
      </c>
      <c r="H115" s="60">
        <f>IF($A115="","",VLOOKUP($A115,Catalog!$A$2:$N$201,13,FALSE))</f>
        <v/>
      </c>
      <c r="I115" s="60">
        <f>IF($A115="","",IF(G115&lt;=0,"Out of stock",IF(G115&lt;=H115,"Reorder","Healthy")))</f>
        <v/>
      </c>
      <c r="J115" s="60">
        <f>IF($A115="","",VLOOKUP($A115,Catalog!$A$2:$N$201,2,FALSE))</f>
        <v/>
      </c>
      <c r="K115" s="76">
        <f>IF($A115="","",VLOOKUP($A115,Catalog!$A$2:$N$201,11,FALSE))</f>
        <v/>
      </c>
      <c r="L115" s="76">
        <f>IF($A115="","",G115*K115)</f>
        <v/>
      </c>
      <c r="M115" s="76">
        <f>IF($A115="","",G115*VLOOKUP($A115,Catalog!$A$2:$N$201,12,FALSE))</f>
        <v/>
      </c>
    </row>
    <row r="116">
      <c r="A116" s="60">
        <f>IF(Catalog!A116="","",Catalog!A116)</f>
        <v/>
      </c>
      <c r="B116" s="60">
        <f>IF($A116="","",VLOOKUP($A116,Catalog!$A$2:$N$201,3,FALSE))</f>
        <v/>
      </c>
      <c r="C116" s="60">
        <f>IF($A116="","",VLOOKUP($A116,Catalog!$A$2:$N$201,4,FALSE))</f>
        <v/>
      </c>
      <c r="D116" s="56">
        <f>IF($A116="","",SUMIFS(Transactions!$H$2:$H$1001,Transactions!$B$2:$B$1001,$A116,Transactions!$E$2:$E$1001,"Studio"))</f>
        <v/>
      </c>
      <c r="E116" s="56">
        <f>IF($A116="","",SUMIFS(Transactions!$H$2:$H$1001,Transactions!$B$2:$B$1001,$A116,Transactions!$E$2:$E$1001,"Knokke"))</f>
        <v/>
      </c>
      <c r="F116" s="56">
        <f>IF($A116="","",SUMIFS(Transactions!$H$2:$H$1001,Transactions!$B$2:$B$1001,$A116,Transactions!$E$2:$E$1001,"Warehouse"))</f>
        <v/>
      </c>
      <c r="G116" s="56">
        <f>IF($A116="","",SUM(D116:F116))</f>
        <v/>
      </c>
      <c r="H116" s="60">
        <f>IF($A116="","",VLOOKUP($A116,Catalog!$A$2:$N$201,13,FALSE))</f>
        <v/>
      </c>
      <c r="I116" s="60">
        <f>IF($A116="","",IF(G116&lt;=0,"Out of stock",IF(G116&lt;=H116,"Reorder","Healthy")))</f>
        <v/>
      </c>
      <c r="J116" s="60">
        <f>IF($A116="","",VLOOKUP($A116,Catalog!$A$2:$N$201,2,FALSE))</f>
        <v/>
      </c>
      <c r="K116" s="76">
        <f>IF($A116="","",VLOOKUP($A116,Catalog!$A$2:$N$201,11,FALSE))</f>
        <v/>
      </c>
      <c r="L116" s="76">
        <f>IF($A116="","",G116*K116)</f>
        <v/>
      </c>
      <c r="M116" s="76">
        <f>IF($A116="","",G116*VLOOKUP($A116,Catalog!$A$2:$N$201,12,FALSE))</f>
        <v/>
      </c>
    </row>
    <row r="117">
      <c r="A117" s="60">
        <f>IF(Catalog!A117="","",Catalog!A117)</f>
        <v/>
      </c>
      <c r="B117" s="60">
        <f>IF($A117="","",VLOOKUP($A117,Catalog!$A$2:$N$201,3,FALSE))</f>
        <v/>
      </c>
      <c r="C117" s="60">
        <f>IF($A117="","",VLOOKUP($A117,Catalog!$A$2:$N$201,4,FALSE))</f>
        <v/>
      </c>
      <c r="D117" s="56">
        <f>IF($A117="","",SUMIFS(Transactions!$H$2:$H$1001,Transactions!$B$2:$B$1001,$A117,Transactions!$E$2:$E$1001,"Studio"))</f>
        <v/>
      </c>
      <c r="E117" s="56">
        <f>IF($A117="","",SUMIFS(Transactions!$H$2:$H$1001,Transactions!$B$2:$B$1001,$A117,Transactions!$E$2:$E$1001,"Knokke"))</f>
        <v/>
      </c>
      <c r="F117" s="56">
        <f>IF($A117="","",SUMIFS(Transactions!$H$2:$H$1001,Transactions!$B$2:$B$1001,$A117,Transactions!$E$2:$E$1001,"Warehouse"))</f>
        <v/>
      </c>
      <c r="G117" s="56">
        <f>IF($A117="","",SUM(D117:F117))</f>
        <v/>
      </c>
      <c r="H117" s="60">
        <f>IF($A117="","",VLOOKUP($A117,Catalog!$A$2:$N$201,13,FALSE))</f>
        <v/>
      </c>
      <c r="I117" s="60">
        <f>IF($A117="","",IF(G117&lt;=0,"Out of stock",IF(G117&lt;=H117,"Reorder","Healthy")))</f>
        <v/>
      </c>
      <c r="J117" s="60">
        <f>IF($A117="","",VLOOKUP($A117,Catalog!$A$2:$N$201,2,FALSE))</f>
        <v/>
      </c>
      <c r="K117" s="76">
        <f>IF($A117="","",VLOOKUP($A117,Catalog!$A$2:$N$201,11,FALSE))</f>
        <v/>
      </c>
      <c r="L117" s="76">
        <f>IF($A117="","",G117*K117)</f>
        <v/>
      </c>
      <c r="M117" s="76">
        <f>IF($A117="","",G117*VLOOKUP($A117,Catalog!$A$2:$N$201,12,FALSE))</f>
        <v/>
      </c>
    </row>
    <row r="118">
      <c r="A118" s="60">
        <f>IF(Catalog!A118="","",Catalog!A118)</f>
        <v/>
      </c>
      <c r="B118" s="60">
        <f>IF($A118="","",VLOOKUP($A118,Catalog!$A$2:$N$201,3,FALSE))</f>
        <v/>
      </c>
      <c r="C118" s="60">
        <f>IF($A118="","",VLOOKUP($A118,Catalog!$A$2:$N$201,4,FALSE))</f>
        <v/>
      </c>
      <c r="D118" s="56">
        <f>IF($A118="","",SUMIFS(Transactions!$H$2:$H$1001,Transactions!$B$2:$B$1001,$A118,Transactions!$E$2:$E$1001,"Studio"))</f>
        <v/>
      </c>
      <c r="E118" s="56">
        <f>IF($A118="","",SUMIFS(Transactions!$H$2:$H$1001,Transactions!$B$2:$B$1001,$A118,Transactions!$E$2:$E$1001,"Knokke"))</f>
        <v/>
      </c>
      <c r="F118" s="56">
        <f>IF($A118="","",SUMIFS(Transactions!$H$2:$H$1001,Transactions!$B$2:$B$1001,$A118,Transactions!$E$2:$E$1001,"Warehouse"))</f>
        <v/>
      </c>
      <c r="G118" s="56">
        <f>IF($A118="","",SUM(D118:F118))</f>
        <v/>
      </c>
      <c r="H118" s="60">
        <f>IF($A118="","",VLOOKUP($A118,Catalog!$A$2:$N$201,13,FALSE))</f>
        <v/>
      </c>
      <c r="I118" s="60">
        <f>IF($A118="","",IF(G118&lt;=0,"Out of stock",IF(G118&lt;=H118,"Reorder","Healthy")))</f>
        <v/>
      </c>
      <c r="J118" s="60">
        <f>IF($A118="","",VLOOKUP($A118,Catalog!$A$2:$N$201,2,FALSE))</f>
        <v/>
      </c>
      <c r="K118" s="76">
        <f>IF($A118="","",VLOOKUP($A118,Catalog!$A$2:$N$201,11,FALSE))</f>
        <v/>
      </c>
      <c r="L118" s="76">
        <f>IF($A118="","",G118*K118)</f>
        <v/>
      </c>
      <c r="M118" s="76">
        <f>IF($A118="","",G118*VLOOKUP($A118,Catalog!$A$2:$N$201,12,FALSE))</f>
        <v/>
      </c>
    </row>
    <row r="119">
      <c r="A119" s="60">
        <f>IF(Catalog!A119="","",Catalog!A119)</f>
        <v/>
      </c>
      <c r="B119" s="60">
        <f>IF($A119="","",VLOOKUP($A119,Catalog!$A$2:$N$201,3,FALSE))</f>
        <v/>
      </c>
      <c r="C119" s="60">
        <f>IF($A119="","",VLOOKUP($A119,Catalog!$A$2:$N$201,4,FALSE))</f>
        <v/>
      </c>
      <c r="D119" s="56">
        <f>IF($A119="","",SUMIFS(Transactions!$H$2:$H$1001,Transactions!$B$2:$B$1001,$A119,Transactions!$E$2:$E$1001,"Studio"))</f>
        <v/>
      </c>
      <c r="E119" s="56">
        <f>IF($A119="","",SUMIFS(Transactions!$H$2:$H$1001,Transactions!$B$2:$B$1001,$A119,Transactions!$E$2:$E$1001,"Knokke"))</f>
        <v/>
      </c>
      <c r="F119" s="56">
        <f>IF($A119="","",SUMIFS(Transactions!$H$2:$H$1001,Transactions!$B$2:$B$1001,$A119,Transactions!$E$2:$E$1001,"Warehouse"))</f>
        <v/>
      </c>
      <c r="G119" s="56">
        <f>IF($A119="","",SUM(D119:F119))</f>
        <v/>
      </c>
      <c r="H119" s="60">
        <f>IF($A119="","",VLOOKUP($A119,Catalog!$A$2:$N$201,13,FALSE))</f>
        <v/>
      </c>
      <c r="I119" s="60">
        <f>IF($A119="","",IF(G119&lt;=0,"Out of stock",IF(G119&lt;=H119,"Reorder","Healthy")))</f>
        <v/>
      </c>
      <c r="J119" s="60">
        <f>IF($A119="","",VLOOKUP($A119,Catalog!$A$2:$N$201,2,FALSE))</f>
        <v/>
      </c>
      <c r="K119" s="76">
        <f>IF($A119="","",VLOOKUP($A119,Catalog!$A$2:$N$201,11,FALSE))</f>
        <v/>
      </c>
      <c r="L119" s="76">
        <f>IF($A119="","",G119*K119)</f>
        <v/>
      </c>
      <c r="M119" s="76">
        <f>IF($A119="","",G119*VLOOKUP($A119,Catalog!$A$2:$N$201,12,FALSE))</f>
        <v/>
      </c>
    </row>
    <row r="120">
      <c r="A120" s="60">
        <f>IF(Catalog!A120="","",Catalog!A120)</f>
        <v/>
      </c>
      <c r="B120" s="60">
        <f>IF($A120="","",VLOOKUP($A120,Catalog!$A$2:$N$201,3,FALSE))</f>
        <v/>
      </c>
      <c r="C120" s="60">
        <f>IF($A120="","",VLOOKUP($A120,Catalog!$A$2:$N$201,4,FALSE))</f>
        <v/>
      </c>
      <c r="D120" s="56">
        <f>IF($A120="","",SUMIFS(Transactions!$H$2:$H$1001,Transactions!$B$2:$B$1001,$A120,Transactions!$E$2:$E$1001,"Studio"))</f>
        <v/>
      </c>
      <c r="E120" s="56">
        <f>IF($A120="","",SUMIFS(Transactions!$H$2:$H$1001,Transactions!$B$2:$B$1001,$A120,Transactions!$E$2:$E$1001,"Knokke"))</f>
        <v/>
      </c>
      <c r="F120" s="56">
        <f>IF($A120="","",SUMIFS(Transactions!$H$2:$H$1001,Transactions!$B$2:$B$1001,$A120,Transactions!$E$2:$E$1001,"Warehouse"))</f>
        <v/>
      </c>
      <c r="G120" s="56">
        <f>IF($A120="","",SUM(D120:F120))</f>
        <v/>
      </c>
      <c r="H120" s="60">
        <f>IF($A120="","",VLOOKUP($A120,Catalog!$A$2:$N$201,13,FALSE))</f>
        <v/>
      </c>
      <c r="I120" s="60">
        <f>IF($A120="","",IF(G120&lt;=0,"Out of stock",IF(G120&lt;=H120,"Reorder","Healthy")))</f>
        <v/>
      </c>
      <c r="J120" s="60">
        <f>IF($A120="","",VLOOKUP($A120,Catalog!$A$2:$N$201,2,FALSE))</f>
        <v/>
      </c>
      <c r="K120" s="76">
        <f>IF($A120="","",VLOOKUP($A120,Catalog!$A$2:$N$201,11,FALSE))</f>
        <v/>
      </c>
      <c r="L120" s="76">
        <f>IF($A120="","",G120*K120)</f>
        <v/>
      </c>
      <c r="M120" s="76">
        <f>IF($A120="","",G120*VLOOKUP($A120,Catalog!$A$2:$N$201,12,FALSE))</f>
        <v/>
      </c>
    </row>
    <row r="121">
      <c r="A121" s="60">
        <f>IF(Catalog!A121="","",Catalog!A121)</f>
        <v/>
      </c>
      <c r="B121" s="60">
        <f>IF($A121="","",VLOOKUP($A121,Catalog!$A$2:$N$201,3,FALSE))</f>
        <v/>
      </c>
      <c r="C121" s="60">
        <f>IF($A121="","",VLOOKUP($A121,Catalog!$A$2:$N$201,4,FALSE))</f>
        <v/>
      </c>
      <c r="D121" s="56">
        <f>IF($A121="","",SUMIFS(Transactions!$H$2:$H$1001,Transactions!$B$2:$B$1001,$A121,Transactions!$E$2:$E$1001,"Studio"))</f>
        <v/>
      </c>
      <c r="E121" s="56">
        <f>IF($A121="","",SUMIFS(Transactions!$H$2:$H$1001,Transactions!$B$2:$B$1001,$A121,Transactions!$E$2:$E$1001,"Knokke"))</f>
        <v/>
      </c>
      <c r="F121" s="56">
        <f>IF($A121="","",SUMIFS(Transactions!$H$2:$H$1001,Transactions!$B$2:$B$1001,$A121,Transactions!$E$2:$E$1001,"Warehouse"))</f>
        <v/>
      </c>
      <c r="G121" s="56">
        <f>IF($A121="","",SUM(D121:F121))</f>
        <v/>
      </c>
      <c r="H121" s="60">
        <f>IF($A121="","",VLOOKUP($A121,Catalog!$A$2:$N$201,13,FALSE))</f>
        <v/>
      </c>
      <c r="I121" s="60">
        <f>IF($A121="","",IF(G121&lt;=0,"Out of stock",IF(G121&lt;=H121,"Reorder","Healthy")))</f>
        <v/>
      </c>
      <c r="J121" s="60">
        <f>IF($A121="","",VLOOKUP($A121,Catalog!$A$2:$N$201,2,FALSE))</f>
        <v/>
      </c>
      <c r="K121" s="76">
        <f>IF($A121="","",VLOOKUP($A121,Catalog!$A$2:$N$201,11,FALSE))</f>
        <v/>
      </c>
      <c r="L121" s="76">
        <f>IF($A121="","",G121*K121)</f>
        <v/>
      </c>
      <c r="M121" s="76">
        <f>IF($A121="","",G121*VLOOKUP($A121,Catalog!$A$2:$N$201,12,FALSE))</f>
        <v/>
      </c>
    </row>
    <row r="122">
      <c r="A122" s="60">
        <f>IF(Catalog!A122="","",Catalog!A122)</f>
        <v/>
      </c>
      <c r="B122" s="60">
        <f>IF($A122="","",VLOOKUP($A122,Catalog!$A$2:$N$201,3,FALSE))</f>
        <v/>
      </c>
      <c r="C122" s="60">
        <f>IF($A122="","",VLOOKUP($A122,Catalog!$A$2:$N$201,4,FALSE))</f>
        <v/>
      </c>
      <c r="D122" s="56">
        <f>IF($A122="","",SUMIFS(Transactions!$H$2:$H$1001,Transactions!$B$2:$B$1001,$A122,Transactions!$E$2:$E$1001,"Studio"))</f>
        <v/>
      </c>
      <c r="E122" s="56">
        <f>IF($A122="","",SUMIFS(Transactions!$H$2:$H$1001,Transactions!$B$2:$B$1001,$A122,Transactions!$E$2:$E$1001,"Knokke"))</f>
        <v/>
      </c>
      <c r="F122" s="56">
        <f>IF($A122="","",SUMIFS(Transactions!$H$2:$H$1001,Transactions!$B$2:$B$1001,$A122,Transactions!$E$2:$E$1001,"Warehouse"))</f>
        <v/>
      </c>
      <c r="G122" s="56">
        <f>IF($A122="","",SUM(D122:F122))</f>
        <v/>
      </c>
      <c r="H122" s="60">
        <f>IF($A122="","",VLOOKUP($A122,Catalog!$A$2:$N$201,13,FALSE))</f>
        <v/>
      </c>
      <c r="I122" s="60">
        <f>IF($A122="","",IF(G122&lt;=0,"Out of stock",IF(G122&lt;=H122,"Reorder","Healthy")))</f>
        <v/>
      </c>
      <c r="J122" s="60">
        <f>IF($A122="","",VLOOKUP($A122,Catalog!$A$2:$N$201,2,FALSE))</f>
        <v/>
      </c>
      <c r="K122" s="76">
        <f>IF($A122="","",VLOOKUP($A122,Catalog!$A$2:$N$201,11,FALSE))</f>
        <v/>
      </c>
      <c r="L122" s="76">
        <f>IF($A122="","",G122*K122)</f>
        <v/>
      </c>
      <c r="M122" s="76">
        <f>IF($A122="","",G122*VLOOKUP($A122,Catalog!$A$2:$N$201,12,FALSE))</f>
        <v/>
      </c>
    </row>
    <row r="123">
      <c r="A123" s="60">
        <f>IF(Catalog!A123="","",Catalog!A123)</f>
        <v/>
      </c>
      <c r="B123" s="60">
        <f>IF($A123="","",VLOOKUP($A123,Catalog!$A$2:$N$201,3,FALSE))</f>
        <v/>
      </c>
      <c r="C123" s="60">
        <f>IF($A123="","",VLOOKUP($A123,Catalog!$A$2:$N$201,4,FALSE))</f>
        <v/>
      </c>
      <c r="D123" s="56">
        <f>IF($A123="","",SUMIFS(Transactions!$H$2:$H$1001,Transactions!$B$2:$B$1001,$A123,Transactions!$E$2:$E$1001,"Studio"))</f>
        <v/>
      </c>
      <c r="E123" s="56">
        <f>IF($A123="","",SUMIFS(Transactions!$H$2:$H$1001,Transactions!$B$2:$B$1001,$A123,Transactions!$E$2:$E$1001,"Knokke"))</f>
        <v/>
      </c>
      <c r="F123" s="56">
        <f>IF($A123="","",SUMIFS(Transactions!$H$2:$H$1001,Transactions!$B$2:$B$1001,$A123,Transactions!$E$2:$E$1001,"Warehouse"))</f>
        <v/>
      </c>
      <c r="G123" s="56">
        <f>IF($A123="","",SUM(D123:F123))</f>
        <v/>
      </c>
      <c r="H123" s="60">
        <f>IF($A123="","",VLOOKUP($A123,Catalog!$A$2:$N$201,13,FALSE))</f>
        <v/>
      </c>
      <c r="I123" s="60">
        <f>IF($A123="","",IF(G123&lt;=0,"Out of stock",IF(G123&lt;=H123,"Reorder","Healthy")))</f>
        <v/>
      </c>
      <c r="J123" s="60">
        <f>IF($A123="","",VLOOKUP($A123,Catalog!$A$2:$N$201,2,FALSE))</f>
        <v/>
      </c>
      <c r="K123" s="76">
        <f>IF($A123="","",VLOOKUP($A123,Catalog!$A$2:$N$201,11,FALSE))</f>
        <v/>
      </c>
      <c r="L123" s="76">
        <f>IF($A123="","",G123*K123)</f>
        <v/>
      </c>
      <c r="M123" s="76">
        <f>IF($A123="","",G123*VLOOKUP($A123,Catalog!$A$2:$N$201,12,FALSE))</f>
        <v/>
      </c>
    </row>
    <row r="124">
      <c r="A124" s="60">
        <f>IF(Catalog!A124="","",Catalog!A124)</f>
        <v/>
      </c>
      <c r="B124" s="60">
        <f>IF($A124="","",VLOOKUP($A124,Catalog!$A$2:$N$201,3,FALSE))</f>
        <v/>
      </c>
      <c r="C124" s="60">
        <f>IF($A124="","",VLOOKUP($A124,Catalog!$A$2:$N$201,4,FALSE))</f>
        <v/>
      </c>
      <c r="D124" s="56">
        <f>IF($A124="","",SUMIFS(Transactions!$H$2:$H$1001,Transactions!$B$2:$B$1001,$A124,Transactions!$E$2:$E$1001,"Studio"))</f>
        <v/>
      </c>
      <c r="E124" s="56">
        <f>IF($A124="","",SUMIFS(Transactions!$H$2:$H$1001,Transactions!$B$2:$B$1001,$A124,Transactions!$E$2:$E$1001,"Knokke"))</f>
        <v/>
      </c>
      <c r="F124" s="56">
        <f>IF($A124="","",SUMIFS(Transactions!$H$2:$H$1001,Transactions!$B$2:$B$1001,$A124,Transactions!$E$2:$E$1001,"Warehouse"))</f>
        <v/>
      </c>
      <c r="G124" s="56">
        <f>IF($A124="","",SUM(D124:F124))</f>
        <v/>
      </c>
      <c r="H124" s="60">
        <f>IF($A124="","",VLOOKUP($A124,Catalog!$A$2:$N$201,13,FALSE))</f>
        <v/>
      </c>
      <c r="I124" s="60">
        <f>IF($A124="","",IF(G124&lt;=0,"Out of stock",IF(G124&lt;=H124,"Reorder","Healthy")))</f>
        <v/>
      </c>
      <c r="J124" s="60">
        <f>IF($A124="","",VLOOKUP($A124,Catalog!$A$2:$N$201,2,FALSE))</f>
        <v/>
      </c>
      <c r="K124" s="76">
        <f>IF($A124="","",VLOOKUP($A124,Catalog!$A$2:$N$201,11,FALSE))</f>
        <v/>
      </c>
      <c r="L124" s="76">
        <f>IF($A124="","",G124*K124)</f>
        <v/>
      </c>
      <c r="M124" s="76">
        <f>IF($A124="","",G124*VLOOKUP($A124,Catalog!$A$2:$N$201,12,FALSE))</f>
        <v/>
      </c>
    </row>
    <row r="125">
      <c r="A125" s="60">
        <f>IF(Catalog!A125="","",Catalog!A125)</f>
        <v/>
      </c>
      <c r="B125" s="60">
        <f>IF($A125="","",VLOOKUP($A125,Catalog!$A$2:$N$201,3,FALSE))</f>
        <v/>
      </c>
      <c r="C125" s="60">
        <f>IF($A125="","",VLOOKUP($A125,Catalog!$A$2:$N$201,4,FALSE))</f>
        <v/>
      </c>
      <c r="D125" s="56">
        <f>IF($A125="","",SUMIFS(Transactions!$H$2:$H$1001,Transactions!$B$2:$B$1001,$A125,Transactions!$E$2:$E$1001,"Studio"))</f>
        <v/>
      </c>
      <c r="E125" s="56">
        <f>IF($A125="","",SUMIFS(Transactions!$H$2:$H$1001,Transactions!$B$2:$B$1001,$A125,Transactions!$E$2:$E$1001,"Knokke"))</f>
        <v/>
      </c>
      <c r="F125" s="56">
        <f>IF($A125="","",SUMIFS(Transactions!$H$2:$H$1001,Transactions!$B$2:$B$1001,$A125,Transactions!$E$2:$E$1001,"Warehouse"))</f>
        <v/>
      </c>
      <c r="G125" s="56">
        <f>IF($A125="","",SUM(D125:F125))</f>
        <v/>
      </c>
      <c r="H125" s="60">
        <f>IF($A125="","",VLOOKUP($A125,Catalog!$A$2:$N$201,13,FALSE))</f>
        <v/>
      </c>
      <c r="I125" s="60">
        <f>IF($A125="","",IF(G125&lt;=0,"Out of stock",IF(G125&lt;=H125,"Reorder","Healthy")))</f>
        <v/>
      </c>
      <c r="J125" s="60">
        <f>IF($A125="","",VLOOKUP($A125,Catalog!$A$2:$N$201,2,FALSE))</f>
        <v/>
      </c>
      <c r="K125" s="76">
        <f>IF($A125="","",VLOOKUP($A125,Catalog!$A$2:$N$201,11,FALSE))</f>
        <v/>
      </c>
      <c r="L125" s="76">
        <f>IF($A125="","",G125*K125)</f>
        <v/>
      </c>
      <c r="M125" s="76">
        <f>IF($A125="","",G125*VLOOKUP($A125,Catalog!$A$2:$N$201,12,FALSE))</f>
        <v/>
      </c>
    </row>
    <row r="126">
      <c r="A126" s="60">
        <f>IF(Catalog!A126="","",Catalog!A126)</f>
        <v/>
      </c>
      <c r="B126" s="60">
        <f>IF($A126="","",VLOOKUP($A126,Catalog!$A$2:$N$201,3,FALSE))</f>
        <v/>
      </c>
      <c r="C126" s="60">
        <f>IF($A126="","",VLOOKUP($A126,Catalog!$A$2:$N$201,4,FALSE))</f>
        <v/>
      </c>
      <c r="D126" s="56">
        <f>IF($A126="","",SUMIFS(Transactions!$H$2:$H$1001,Transactions!$B$2:$B$1001,$A126,Transactions!$E$2:$E$1001,"Studio"))</f>
        <v/>
      </c>
      <c r="E126" s="56">
        <f>IF($A126="","",SUMIFS(Transactions!$H$2:$H$1001,Transactions!$B$2:$B$1001,$A126,Transactions!$E$2:$E$1001,"Knokke"))</f>
        <v/>
      </c>
      <c r="F126" s="56">
        <f>IF($A126="","",SUMIFS(Transactions!$H$2:$H$1001,Transactions!$B$2:$B$1001,$A126,Transactions!$E$2:$E$1001,"Warehouse"))</f>
        <v/>
      </c>
      <c r="G126" s="56">
        <f>IF($A126="","",SUM(D126:F126))</f>
        <v/>
      </c>
      <c r="H126" s="60">
        <f>IF($A126="","",VLOOKUP($A126,Catalog!$A$2:$N$201,13,FALSE))</f>
        <v/>
      </c>
      <c r="I126" s="60">
        <f>IF($A126="","",IF(G126&lt;=0,"Out of stock",IF(G126&lt;=H126,"Reorder","Healthy")))</f>
        <v/>
      </c>
      <c r="J126" s="60">
        <f>IF($A126="","",VLOOKUP($A126,Catalog!$A$2:$N$201,2,FALSE))</f>
        <v/>
      </c>
      <c r="K126" s="76">
        <f>IF($A126="","",VLOOKUP($A126,Catalog!$A$2:$N$201,11,FALSE))</f>
        <v/>
      </c>
      <c r="L126" s="76">
        <f>IF($A126="","",G126*K126)</f>
        <v/>
      </c>
      <c r="M126" s="76">
        <f>IF($A126="","",G126*VLOOKUP($A126,Catalog!$A$2:$N$201,12,FALSE))</f>
        <v/>
      </c>
    </row>
    <row r="127">
      <c r="A127" s="60">
        <f>IF(Catalog!A127="","",Catalog!A127)</f>
        <v/>
      </c>
      <c r="B127" s="60">
        <f>IF($A127="","",VLOOKUP($A127,Catalog!$A$2:$N$201,3,FALSE))</f>
        <v/>
      </c>
      <c r="C127" s="60">
        <f>IF($A127="","",VLOOKUP($A127,Catalog!$A$2:$N$201,4,FALSE))</f>
        <v/>
      </c>
      <c r="D127" s="56">
        <f>IF($A127="","",SUMIFS(Transactions!$H$2:$H$1001,Transactions!$B$2:$B$1001,$A127,Transactions!$E$2:$E$1001,"Studio"))</f>
        <v/>
      </c>
      <c r="E127" s="56">
        <f>IF($A127="","",SUMIFS(Transactions!$H$2:$H$1001,Transactions!$B$2:$B$1001,$A127,Transactions!$E$2:$E$1001,"Knokke"))</f>
        <v/>
      </c>
      <c r="F127" s="56">
        <f>IF($A127="","",SUMIFS(Transactions!$H$2:$H$1001,Transactions!$B$2:$B$1001,$A127,Transactions!$E$2:$E$1001,"Warehouse"))</f>
        <v/>
      </c>
      <c r="G127" s="56">
        <f>IF($A127="","",SUM(D127:F127))</f>
        <v/>
      </c>
      <c r="H127" s="60">
        <f>IF($A127="","",VLOOKUP($A127,Catalog!$A$2:$N$201,13,FALSE))</f>
        <v/>
      </c>
      <c r="I127" s="60">
        <f>IF($A127="","",IF(G127&lt;=0,"Out of stock",IF(G127&lt;=H127,"Reorder","Healthy")))</f>
        <v/>
      </c>
      <c r="J127" s="60">
        <f>IF($A127="","",VLOOKUP($A127,Catalog!$A$2:$N$201,2,FALSE))</f>
        <v/>
      </c>
      <c r="K127" s="76">
        <f>IF($A127="","",VLOOKUP($A127,Catalog!$A$2:$N$201,11,FALSE))</f>
        <v/>
      </c>
      <c r="L127" s="76">
        <f>IF($A127="","",G127*K127)</f>
        <v/>
      </c>
      <c r="M127" s="76">
        <f>IF($A127="","",G127*VLOOKUP($A127,Catalog!$A$2:$N$201,12,FALSE))</f>
        <v/>
      </c>
    </row>
    <row r="128">
      <c r="A128" s="60">
        <f>IF(Catalog!A128="","",Catalog!A128)</f>
        <v/>
      </c>
      <c r="B128" s="60">
        <f>IF($A128="","",VLOOKUP($A128,Catalog!$A$2:$N$201,3,FALSE))</f>
        <v/>
      </c>
      <c r="C128" s="60">
        <f>IF($A128="","",VLOOKUP($A128,Catalog!$A$2:$N$201,4,FALSE))</f>
        <v/>
      </c>
      <c r="D128" s="56">
        <f>IF($A128="","",SUMIFS(Transactions!$H$2:$H$1001,Transactions!$B$2:$B$1001,$A128,Transactions!$E$2:$E$1001,"Studio"))</f>
        <v/>
      </c>
      <c r="E128" s="56">
        <f>IF($A128="","",SUMIFS(Transactions!$H$2:$H$1001,Transactions!$B$2:$B$1001,$A128,Transactions!$E$2:$E$1001,"Knokke"))</f>
        <v/>
      </c>
      <c r="F128" s="56">
        <f>IF($A128="","",SUMIFS(Transactions!$H$2:$H$1001,Transactions!$B$2:$B$1001,$A128,Transactions!$E$2:$E$1001,"Warehouse"))</f>
        <v/>
      </c>
      <c r="G128" s="56">
        <f>IF($A128="","",SUM(D128:F128))</f>
        <v/>
      </c>
      <c r="H128" s="60">
        <f>IF($A128="","",VLOOKUP($A128,Catalog!$A$2:$N$201,13,FALSE))</f>
        <v/>
      </c>
      <c r="I128" s="60">
        <f>IF($A128="","",IF(G128&lt;=0,"Out of stock",IF(G128&lt;=H128,"Reorder","Healthy")))</f>
        <v/>
      </c>
      <c r="J128" s="60">
        <f>IF($A128="","",VLOOKUP($A128,Catalog!$A$2:$N$201,2,FALSE))</f>
        <v/>
      </c>
      <c r="K128" s="76">
        <f>IF($A128="","",VLOOKUP($A128,Catalog!$A$2:$N$201,11,FALSE))</f>
        <v/>
      </c>
      <c r="L128" s="76">
        <f>IF($A128="","",G128*K128)</f>
        <v/>
      </c>
      <c r="M128" s="76">
        <f>IF($A128="","",G128*VLOOKUP($A128,Catalog!$A$2:$N$201,12,FALSE))</f>
        <v/>
      </c>
    </row>
    <row r="129">
      <c r="A129" s="60">
        <f>IF(Catalog!A129="","",Catalog!A129)</f>
        <v/>
      </c>
      <c r="B129" s="60">
        <f>IF($A129="","",VLOOKUP($A129,Catalog!$A$2:$N$201,3,FALSE))</f>
        <v/>
      </c>
      <c r="C129" s="60">
        <f>IF($A129="","",VLOOKUP($A129,Catalog!$A$2:$N$201,4,FALSE))</f>
        <v/>
      </c>
      <c r="D129" s="56">
        <f>IF($A129="","",SUMIFS(Transactions!$H$2:$H$1001,Transactions!$B$2:$B$1001,$A129,Transactions!$E$2:$E$1001,"Studio"))</f>
        <v/>
      </c>
      <c r="E129" s="56">
        <f>IF($A129="","",SUMIFS(Transactions!$H$2:$H$1001,Transactions!$B$2:$B$1001,$A129,Transactions!$E$2:$E$1001,"Knokke"))</f>
        <v/>
      </c>
      <c r="F129" s="56">
        <f>IF($A129="","",SUMIFS(Transactions!$H$2:$H$1001,Transactions!$B$2:$B$1001,$A129,Transactions!$E$2:$E$1001,"Warehouse"))</f>
        <v/>
      </c>
      <c r="G129" s="56">
        <f>IF($A129="","",SUM(D129:F129))</f>
        <v/>
      </c>
      <c r="H129" s="60">
        <f>IF($A129="","",VLOOKUP($A129,Catalog!$A$2:$N$201,13,FALSE))</f>
        <v/>
      </c>
      <c r="I129" s="60">
        <f>IF($A129="","",IF(G129&lt;=0,"Out of stock",IF(G129&lt;=H129,"Reorder","Healthy")))</f>
        <v/>
      </c>
      <c r="J129" s="60">
        <f>IF($A129="","",VLOOKUP($A129,Catalog!$A$2:$N$201,2,FALSE))</f>
        <v/>
      </c>
      <c r="K129" s="76">
        <f>IF($A129="","",VLOOKUP($A129,Catalog!$A$2:$N$201,11,FALSE))</f>
        <v/>
      </c>
      <c r="L129" s="76">
        <f>IF($A129="","",G129*K129)</f>
        <v/>
      </c>
      <c r="M129" s="76">
        <f>IF($A129="","",G129*VLOOKUP($A129,Catalog!$A$2:$N$201,12,FALSE))</f>
        <v/>
      </c>
    </row>
    <row r="130">
      <c r="A130" s="60">
        <f>IF(Catalog!A130="","",Catalog!A130)</f>
        <v/>
      </c>
      <c r="B130" s="60">
        <f>IF($A130="","",VLOOKUP($A130,Catalog!$A$2:$N$201,3,FALSE))</f>
        <v/>
      </c>
      <c r="C130" s="60">
        <f>IF($A130="","",VLOOKUP($A130,Catalog!$A$2:$N$201,4,FALSE))</f>
        <v/>
      </c>
      <c r="D130" s="56">
        <f>IF($A130="","",SUMIFS(Transactions!$H$2:$H$1001,Transactions!$B$2:$B$1001,$A130,Transactions!$E$2:$E$1001,"Studio"))</f>
        <v/>
      </c>
      <c r="E130" s="56">
        <f>IF($A130="","",SUMIFS(Transactions!$H$2:$H$1001,Transactions!$B$2:$B$1001,$A130,Transactions!$E$2:$E$1001,"Knokke"))</f>
        <v/>
      </c>
      <c r="F130" s="56">
        <f>IF($A130="","",SUMIFS(Transactions!$H$2:$H$1001,Transactions!$B$2:$B$1001,$A130,Transactions!$E$2:$E$1001,"Warehouse"))</f>
        <v/>
      </c>
      <c r="G130" s="56">
        <f>IF($A130="","",SUM(D130:F130))</f>
        <v/>
      </c>
      <c r="H130" s="60">
        <f>IF($A130="","",VLOOKUP($A130,Catalog!$A$2:$N$201,13,FALSE))</f>
        <v/>
      </c>
      <c r="I130" s="60">
        <f>IF($A130="","",IF(G130&lt;=0,"Out of stock",IF(G130&lt;=H130,"Reorder","Healthy")))</f>
        <v/>
      </c>
      <c r="J130" s="60">
        <f>IF($A130="","",VLOOKUP($A130,Catalog!$A$2:$N$201,2,FALSE))</f>
        <v/>
      </c>
      <c r="K130" s="76">
        <f>IF($A130="","",VLOOKUP($A130,Catalog!$A$2:$N$201,11,FALSE))</f>
        <v/>
      </c>
      <c r="L130" s="76">
        <f>IF($A130="","",G130*K130)</f>
        <v/>
      </c>
      <c r="M130" s="76">
        <f>IF($A130="","",G130*VLOOKUP($A130,Catalog!$A$2:$N$201,12,FALSE))</f>
        <v/>
      </c>
    </row>
    <row r="131">
      <c r="A131" s="60">
        <f>IF(Catalog!A131="","",Catalog!A131)</f>
        <v/>
      </c>
      <c r="B131" s="60">
        <f>IF($A131="","",VLOOKUP($A131,Catalog!$A$2:$N$201,3,FALSE))</f>
        <v/>
      </c>
      <c r="C131" s="60">
        <f>IF($A131="","",VLOOKUP($A131,Catalog!$A$2:$N$201,4,FALSE))</f>
        <v/>
      </c>
      <c r="D131" s="56">
        <f>IF($A131="","",SUMIFS(Transactions!$H$2:$H$1001,Transactions!$B$2:$B$1001,$A131,Transactions!$E$2:$E$1001,"Studio"))</f>
        <v/>
      </c>
      <c r="E131" s="56">
        <f>IF($A131="","",SUMIFS(Transactions!$H$2:$H$1001,Transactions!$B$2:$B$1001,$A131,Transactions!$E$2:$E$1001,"Knokke"))</f>
        <v/>
      </c>
      <c r="F131" s="56">
        <f>IF($A131="","",SUMIFS(Transactions!$H$2:$H$1001,Transactions!$B$2:$B$1001,$A131,Transactions!$E$2:$E$1001,"Warehouse"))</f>
        <v/>
      </c>
      <c r="G131" s="56">
        <f>IF($A131="","",SUM(D131:F131))</f>
        <v/>
      </c>
      <c r="H131" s="60">
        <f>IF($A131="","",VLOOKUP($A131,Catalog!$A$2:$N$201,13,FALSE))</f>
        <v/>
      </c>
      <c r="I131" s="60">
        <f>IF($A131="","",IF(G131&lt;=0,"Out of stock",IF(G131&lt;=H131,"Reorder","Healthy")))</f>
        <v/>
      </c>
      <c r="J131" s="60">
        <f>IF($A131="","",VLOOKUP($A131,Catalog!$A$2:$N$201,2,FALSE))</f>
        <v/>
      </c>
      <c r="K131" s="76">
        <f>IF($A131="","",VLOOKUP($A131,Catalog!$A$2:$N$201,11,FALSE))</f>
        <v/>
      </c>
      <c r="L131" s="76">
        <f>IF($A131="","",G131*K131)</f>
        <v/>
      </c>
      <c r="M131" s="76">
        <f>IF($A131="","",G131*VLOOKUP($A131,Catalog!$A$2:$N$201,12,FALSE))</f>
        <v/>
      </c>
    </row>
    <row r="132">
      <c r="A132" s="60">
        <f>IF(Catalog!A132="","",Catalog!A132)</f>
        <v/>
      </c>
      <c r="B132" s="60">
        <f>IF($A132="","",VLOOKUP($A132,Catalog!$A$2:$N$201,3,FALSE))</f>
        <v/>
      </c>
      <c r="C132" s="60">
        <f>IF($A132="","",VLOOKUP($A132,Catalog!$A$2:$N$201,4,FALSE))</f>
        <v/>
      </c>
      <c r="D132" s="56">
        <f>IF($A132="","",SUMIFS(Transactions!$H$2:$H$1001,Transactions!$B$2:$B$1001,$A132,Transactions!$E$2:$E$1001,"Studio"))</f>
        <v/>
      </c>
      <c r="E132" s="56">
        <f>IF($A132="","",SUMIFS(Transactions!$H$2:$H$1001,Transactions!$B$2:$B$1001,$A132,Transactions!$E$2:$E$1001,"Knokke"))</f>
        <v/>
      </c>
      <c r="F132" s="56">
        <f>IF($A132="","",SUMIFS(Transactions!$H$2:$H$1001,Transactions!$B$2:$B$1001,$A132,Transactions!$E$2:$E$1001,"Warehouse"))</f>
        <v/>
      </c>
      <c r="G132" s="56">
        <f>IF($A132="","",SUM(D132:F132))</f>
        <v/>
      </c>
      <c r="H132" s="60">
        <f>IF($A132="","",VLOOKUP($A132,Catalog!$A$2:$N$201,13,FALSE))</f>
        <v/>
      </c>
      <c r="I132" s="60">
        <f>IF($A132="","",IF(G132&lt;=0,"Out of stock",IF(G132&lt;=H132,"Reorder","Healthy")))</f>
        <v/>
      </c>
      <c r="J132" s="60">
        <f>IF($A132="","",VLOOKUP($A132,Catalog!$A$2:$N$201,2,FALSE))</f>
        <v/>
      </c>
      <c r="K132" s="76">
        <f>IF($A132="","",VLOOKUP($A132,Catalog!$A$2:$N$201,11,FALSE))</f>
        <v/>
      </c>
      <c r="L132" s="76">
        <f>IF($A132="","",G132*K132)</f>
        <v/>
      </c>
      <c r="M132" s="76">
        <f>IF($A132="","",G132*VLOOKUP($A132,Catalog!$A$2:$N$201,12,FALSE))</f>
        <v/>
      </c>
    </row>
    <row r="133">
      <c r="A133" s="60">
        <f>IF(Catalog!A133="","",Catalog!A133)</f>
        <v/>
      </c>
      <c r="B133" s="60">
        <f>IF($A133="","",VLOOKUP($A133,Catalog!$A$2:$N$201,3,FALSE))</f>
        <v/>
      </c>
      <c r="C133" s="60">
        <f>IF($A133="","",VLOOKUP($A133,Catalog!$A$2:$N$201,4,FALSE))</f>
        <v/>
      </c>
      <c r="D133" s="56">
        <f>IF($A133="","",SUMIFS(Transactions!$H$2:$H$1001,Transactions!$B$2:$B$1001,$A133,Transactions!$E$2:$E$1001,"Studio"))</f>
        <v/>
      </c>
      <c r="E133" s="56">
        <f>IF($A133="","",SUMIFS(Transactions!$H$2:$H$1001,Transactions!$B$2:$B$1001,$A133,Transactions!$E$2:$E$1001,"Knokke"))</f>
        <v/>
      </c>
      <c r="F133" s="56">
        <f>IF($A133="","",SUMIFS(Transactions!$H$2:$H$1001,Transactions!$B$2:$B$1001,$A133,Transactions!$E$2:$E$1001,"Warehouse"))</f>
        <v/>
      </c>
      <c r="G133" s="56">
        <f>IF($A133="","",SUM(D133:F133))</f>
        <v/>
      </c>
      <c r="H133" s="60">
        <f>IF($A133="","",VLOOKUP($A133,Catalog!$A$2:$N$201,13,FALSE))</f>
        <v/>
      </c>
      <c r="I133" s="60">
        <f>IF($A133="","",IF(G133&lt;=0,"Out of stock",IF(G133&lt;=H133,"Reorder","Healthy")))</f>
        <v/>
      </c>
      <c r="J133" s="60">
        <f>IF($A133="","",VLOOKUP($A133,Catalog!$A$2:$N$201,2,FALSE))</f>
        <v/>
      </c>
      <c r="K133" s="76">
        <f>IF($A133="","",VLOOKUP($A133,Catalog!$A$2:$N$201,11,FALSE))</f>
        <v/>
      </c>
      <c r="L133" s="76">
        <f>IF($A133="","",G133*K133)</f>
        <v/>
      </c>
      <c r="M133" s="76">
        <f>IF($A133="","",G133*VLOOKUP($A133,Catalog!$A$2:$N$201,12,FALSE))</f>
        <v/>
      </c>
    </row>
    <row r="134">
      <c r="A134" s="60">
        <f>IF(Catalog!A134="","",Catalog!A134)</f>
        <v/>
      </c>
      <c r="B134" s="60">
        <f>IF($A134="","",VLOOKUP($A134,Catalog!$A$2:$N$201,3,FALSE))</f>
        <v/>
      </c>
      <c r="C134" s="60">
        <f>IF($A134="","",VLOOKUP($A134,Catalog!$A$2:$N$201,4,FALSE))</f>
        <v/>
      </c>
      <c r="D134" s="56">
        <f>IF($A134="","",SUMIFS(Transactions!$H$2:$H$1001,Transactions!$B$2:$B$1001,$A134,Transactions!$E$2:$E$1001,"Studio"))</f>
        <v/>
      </c>
      <c r="E134" s="56">
        <f>IF($A134="","",SUMIFS(Transactions!$H$2:$H$1001,Transactions!$B$2:$B$1001,$A134,Transactions!$E$2:$E$1001,"Knokke"))</f>
        <v/>
      </c>
      <c r="F134" s="56">
        <f>IF($A134="","",SUMIFS(Transactions!$H$2:$H$1001,Transactions!$B$2:$B$1001,$A134,Transactions!$E$2:$E$1001,"Warehouse"))</f>
        <v/>
      </c>
      <c r="G134" s="56">
        <f>IF($A134="","",SUM(D134:F134))</f>
        <v/>
      </c>
      <c r="H134" s="60">
        <f>IF($A134="","",VLOOKUP($A134,Catalog!$A$2:$N$201,13,FALSE))</f>
        <v/>
      </c>
      <c r="I134" s="60">
        <f>IF($A134="","",IF(G134&lt;=0,"Out of stock",IF(G134&lt;=H134,"Reorder","Healthy")))</f>
        <v/>
      </c>
      <c r="J134" s="60">
        <f>IF($A134="","",VLOOKUP($A134,Catalog!$A$2:$N$201,2,FALSE))</f>
        <v/>
      </c>
      <c r="K134" s="76">
        <f>IF($A134="","",VLOOKUP($A134,Catalog!$A$2:$N$201,11,FALSE))</f>
        <v/>
      </c>
      <c r="L134" s="76">
        <f>IF($A134="","",G134*K134)</f>
        <v/>
      </c>
      <c r="M134" s="76">
        <f>IF($A134="","",G134*VLOOKUP($A134,Catalog!$A$2:$N$201,12,FALSE))</f>
        <v/>
      </c>
    </row>
    <row r="135">
      <c r="A135" s="60">
        <f>IF(Catalog!A135="","",Catalog!A135)</f>
        <v/>
      </c>
      <c r="B135" s="60">
        <f>IF($A135="","",VLOOKUP($A135,Catalog!$A$2:$N$201,3,FALSE))</f>
        <v/>
      </c>
      <c r="C135" s="60">
        <f>IF($A135="","",VLOOKUP($A135,Catalog!$A$2:$N$201,4,FALSE))</f>
        <v/>
      </c>
      <c r="D135" s="56">
        <f>IF($A135="","",SUMIFS(Transactions!$H$2:$H$1001,Transactions!$B$2:$B$1001,$A135,Transactions!$E$2:$E$1001,"Studio"))</f>
        <v/>
      </c>
      <c r="E135" s="56">
        <f>IF($A135="","",SUMIFS(Transactions!$H$2:$H$1001,Transactions!$B$2:$B$1001,$A135,Transactions!$E$2:$E$1001,"Knokke"))</f>
        <v/>
      </c>
      <c r="F135" s="56">
        <f>IF($A135="","",SUMIFS(Transactions!$H$2:$H$1001,Transactions!$B$2:$B$1001,$A135,Transactions!$E$2:$E$1001,"Warehouse"))</f>
        <v/>
      </c>
      <c r="G135" s="56">
        <f>IF($A135="","",SUM(D135:F135))</f>
        <v/>
      </c>
      <c r="H135" s="60">
        <f>IF($A135="","",VLOOKUP($A135,Catalog!$A$2:$N$201,13,FALSE))</f>
        <v/>
      </c>
      <c r="I135" s="60">
        <f>IF($A135="","",IF(G135&lt;=0,"Out of stock",IF(G135&lt;=H135,"Reorder","Healthy")))</f>
        <v/>
      </c>
      <c r="J135" s="60">
        <f>IF($A135="","",VLOOKUP($A135,Catalog!$A$2:$N$201,2,FALSE))</f>
        <v/>
      </c>
      <c r="K135" s="76">
        <f>IF($A135="","",VLOOKUP($A135,Catalog!$A$2:$N$201,11,FALSE))</f>
        <v/>
      </c>
      <c r="L135" s="76">
        <f>IF($A135="","",G135*K135)</f>
        <v/>
      </c>
      <c r="M135" s="76">
        <f>IF($A135="","",G135*VLOOKUP($A135,Catalog!$A$2:$N$201,12,FALSE))</f>
        <v/>
      </c>
    </row>
    <row r="136">
      <c r="A136" s="60">
        <f>IF(Catalog!A136="","",Catalog!A136)</f>
        <v/>
      </c>
      <c r="B136" s="60">
        <f>IF($A136="","",VLOOKUP($A136,Catalog!$A$2:$N$201,3,FALSE))</f>
        <v/>
      </c>
      <c r="C136" s="60">
        <f>IF($A136="","",VLOOKUP($A136,Catalog!$A$2:$N$201,4,FALSE))</f>
        <v/>
      </c>
      <c r="D136" s="56">
        <f>IF($A136="","",SUMIFS(Transactions!$H$2:$H$1001,Transactions!$B$2:$B$1001,$A136,Transactions!$E$2:$E$1001,"Studio"))</f>
        <v/>
      </c>
      <c r="E136" s="56">
        <f>IF($A136="","",SUMIFS(Transactions!$H$2:$H$1001,Transactions!$B$2:$B$1001,$A136,Transactions!$E$2:$E$1001,"Knokke"))</f>
        <v/>
      </c>
      <c r="F136" s="56">
        <f>IF($A136="","",SUMIFS(Transactions!$H$2:$H$1001,Transactions!$B$2:$B$1001,$A136,Transactions!$E$2:$E$1001,"Warehouse"))</f>
        <v/>
      </c>
      <c r="G136" s="56">
        <f>IF($A136="","",SUM(D136:F136))</f>
        <v/>
      </c>
      <c r="H136" s="60">
        <f>IF($A136="","",VLOOKUP($A136,Catalog!$A$2:$N$201,13,FALSE))</f>
        <v/>
      </c>
      <c r="I136" s="60">
        <f>IF($A136="","",IF(G136&lt;=0,"Out of stock",IF(G136&lt;=H136,"Reorder","Healthy")))</f>
        <v/>
      </c>
      <c r="J136" s="60">
        <f>IF($A136="","",VLOOKUP($A136,Catalog!$A$2:$N$201,2,FALSE))</f>
        <v/>
      </c>
      <c r="K136" s="76">
        <f>IF($A136="","",VLOOKUP($A136,Catalog!$A$2:$N$201,11,FALSE))</f>
        <v/>
      </c>
      <c r="L136" s="76">
        <f>IF($A136="","",G136*K136)</f>
        <v/>
      </c>
      <c r="M136" s="76">
        <f>IF($A136="","",G136*VLOOKUP($A136,Catalog!$A$2:$N$201,12,FALSE))</f>
        <v/>
      </c>
    </row>
    <row r="137">
      <c r="A137" s="60">
        <f>IF(Catalog!A137="","",Catalog!A137)</f>
        <v/>
      </c>
      <c r="B137" s="60">
        <f>IF($A137="","",VLOOKUP($A137,Catalog!$A$2:$N$201,3,FALSE))</f>
        <v/>
      </c>
      <c r="C137" s="60">
        <f>IF($A137="","",VLOOKUP($A137,Catalog!$A$2:$N$201,4,FALSE))</f>
        <v/>
      </c>
      <c r="D137" s="56">
        <f>IF($A137="","",SUMIFS(Transactions!$H$2:$H$1001,Transactions!$B$2:$B$1001,$A137,Transactions!$E$2:$E$1001,"Studio"))</f>
        <v/>
      </c>
      <c r="E137" s="56">
        <f>IF($A137="","",SUMIFS(Transactions!$H$2:$H$1001,Transactions!$B$2:$B$1001,$A137,Transactions!$E$2:$E$1001,"Knokke"))</f>
        <v/>
      </c>
      <c r="F137" s="56">
        <f>IF($A137="","",SUMIFS(Transactions!$H$2:$H$1001,Transactions!$B$2:$B$1001,$A137,Transactions!$E$2:$E$1001,"Warehouse"))</f>
        <v/>
      </c>
      <c r="G137" s="56">
        <f>IF($A137="","",SUM(D137:F137))</f>
        <v/>
      </c>
      <c r="H137" s="60">
        <f>IF($A137="","",VLOOKUP($A137,Catalog!$A$2:$N$201,13,FALSE))</f>
        <v/>
      </c>
      <c r="I137" s="60">
        <f>IF($A137="","",IF(G137&lt;=0,"Out of stock",IF(G137&lt;=H137,"Reorder","Healthy")))</f>
        <v/>
      </c>
      <c r="J137" s="60">
        <f>IF($A137="","",VLOOKUP($A137,Catalog!$A$2:$N$201,2,FALSE))</f>
        <v/>
      </c>
      <c r="K137" s="76">
        <f>IF($A137="","",VLOOKUP($A137,Catalog!$A$2:$N$201,11,FALSE))</f>
        <v/>
      </c>
      <c r="L137" s="76">
        <f>IF($A137="","",G137*K137)</f>
        <v/>
      </c>
      <c r="M137" s="76">
        <f>IF($A137="","",G137*VLOOKUP($A137,Catalog!$A$2:$N$201,12,FALSE))</f>
        <v/>
      </c>
    </row>
    <row r="138">
      <c r="A138" s="60">
        <f>IF(Catalog!A138="","",Catalog!A138)</f>
        <v/>
      </c>
      <c r="B138" s="60">
        <f>IF($A138="","",VLOOKUP($A138,Catalog!$A$2:$N$201,3,FALSE))</f>
        <v/>
      </c>
      <c r="C138" s="60">
        <f>IF($A138="","",VLOOKUP($A138,Catalog!$A$2:$N$201,4,FALSE))</f>
        <v/>
      </c>
      <c r="D138" s="56">
        <f>IF($A138="","",SUMIFS(Transactions!$H$2:$H$1001,Transactions!$B$2:$B$1001,$A138,Transactions!$E$2:$E$1001,"Studio"))</f>
        <v/>
      </c>
      <c r="E138" s="56">
        <f>IF($A138="","",SUMIFS(Transactions!$H$2:$H$1001,Transactions!$B$2:$B$1001,$A138,Transactions!$E$2:$E$1001,"Knokke"))</f>
        <v/>
      </c>
      <c r="F138" s="56">
        <f>IF($A138="","",SUMIFS(Transactions!$H$2:$H$1001,Transactions!$B$2:$B$1001,$A138,Transactions!$E$2:$E$1001,"Warehouse"))</f>
        <v/>
      </c>
      <c r="G138" s="56">
        <f>IF($A138="","",SUM(D138:F138))</f>
        <v/>
      </c>
      <c r="H138" s="60">
        <f>IF($A138="","",VLOOKUP($A138,Catalog!$A$2:$N$201,13,FALSE))</f>
        <v/>
      </c>
      <c r="I138" s="60">
        <f>IF($A138="","",IF(G138&lt;=0,"Out of stock",IF(G138&lt;=H138,"Reorder","Healthy")))</f>
        <v/>
      </c>
      <c r="J138" s="60">
        <f>IF($A138="","",VLOOKUP($A138,Catalog!$A$2:$N$201,2,FALSE))</f>
        <v/>
      </c>
      <c r="K138" s="76">
        <f>IF($A138="","",VLOOKUP($A138,Catalog!$A$2:$N$201,11,FALSE))</f>
        <v/>
      </c>
      <c r="L138" s="76">
        <f>IF($A138="","",G138*K138)</f>
        <v/>
      </c>
      <c r="M138" s="76">
        <f>IF($A138="","",G138*VLOOKUP($A138,Catalog!$A$2:$N$201,12,FALSE))</f>
        <v/>
      </c>
    </row>
    <row r="139">
      <c r="A139" s="60">
        <f>IF(Catalog!A139="","",Catalog!A139)</f>
        <v/>
      </c>
      <c r="B139" s="60">
        <f>IF($A139="","",VLOOKUP($A139,Catalog!$A$2:$N$201,3,FALSE))</f>
        <v/>
      </c>
      <c r="C139" s="60">
        <f>IF($A139="","",VLOOKUP($A139,Catalog!$A$2:$N$201,4,FALSE))</f>
        <v/>
      </c>
      <c r="D139" s="56">
        <f>IF($A139="","",SUMIFS(Transactions!$H$2:$H$1001,Transactions!$B$2:$B$1001,$A139,Transactions!$E$2:$E$1001,"Studio"))</f>
        <v/>
      </c>
      <c r="E139" s="56">
        <f>IF($A139="","",SUMIFS(Transactions!$H$2:$H$1001,Transactions!$B$2:$B$1001,$A139,Transactions!$E$2:$E$1001,"Knokke"))</f>
        <v/>
      </c>
      <c r="F139" s="56">
        <f>IF($A139="","",SUMIFS(Transactions!$H$2:$H$1001,Transactions!$B$2:$B$1001,$A139,Transactions!$E$2:$E$1001,"Warehouse"))</f>
        <v/>
      </c>
      <c r="G139" s="56">
        <f>IF($A139="","",SUM(D139:F139))</f>
        <v/>
      </c>
      <c r="H139" s="60">
        <f>IF($A139="","",VLOOKUP($A139,Catalog!$A$2:$N$201,13,FALSE))</f>
        <v/>
      </c>
      <c r="I139" s="60">
        <f>IF($A139="","",IF(G139&lt;=0,"Out of stock",IF(G139&lt;=H139,"Reorder","Healthy")))</f>
        <v/>
      </c>
      <c r="J139" s="60">
        <f>IF($A139="","",VLOOKUP($A139,Catalog!$A$2:$N$201,2,FALSE))</f>
        <v/>
      </c>
      <c r="K139" s="76">
        <f>IF($A139="","",VLOOKUP($A139,Catalog!$A$2:$N$201,11,FALSE))</f>
        <v/>
      </c>
      <c r="L139" s="76">
        <f>IF($A139="","",G139*K139)</f>
        <v/>
      </c>
      <c r="M139" s="76">
        <f>IF($A139="","",G139*VLOOKUP($A139,Catalog!$A$2:$N$201,12,FALSE))</f>
        <v/>
      </c>
    </row>
    <row r="140">
      <c r="A140" s="60">
        <f>IF(Catalog!A140="","",Catalog!A140)</f>
        <v/>
      </c>
      <c r="B140" s="60">
        <f>IF($A140="","",VLOOKUP($A140,Catalog!$A$2:$N$201,3,FALSE))</f>
        <v/>
      </c>
      <c r="C140" s="60">
        <f>IF($A140="","",VLOOKUP($A140,Catalog!$A$2:$N$201,4,FALSE))</f>
        <v/>
      </c>
      <c r="D140" s="56">
        <f>IF($A140="","",SUMIFS(Transactions!$H$2:$H$1001,Transactions!$B$2:$B$1001,$A140,Transactions!$E$2:$E$1001,"Studio"))</f>
        <v/>
      </c>
      <c r="E140" s="56">
        <f>IF($A140="","",SUMIFS(Transactions!$H$2:$H$1001,Transactions!$B$2:$B$1001,$A140,Transactions!$E$2:$E$1001,"Knokke"))</f>
        <v/>
      </c>
      <c r="F140" s="56">
        <f>IF($A140="","",SUMIFS(Transactions!$H$2:$H$1001,Transactions!$B$2:$B$1001,$A140,Transactions!$E$2:$E$1001,"Warehouse"))</f>
        <v/>
      </c>
      <c r="G140" s="56">
        <f>IF($A140="","",SUM(D140:F140))</f>
        <v/>
      </c>
      <c r="H140" s="60">
        <f>IF($A140="","",VLOOKUP($A140,Catalog!$A$2:$N$201,13,FALSE))</f>
        <v/>
      </c>
      <c r="I140" s="60">
        <f>IF($A140="","",IF(G140&lt;=0,"Out of stock",IF(G140&lt;=H140,"Reorder","Healthy")))</f>
        <v/>
      </c>
      <c r="J140" s="60">
        <f>IF($A140="","",VLOOKUP($A140,Catalog!$A$2:$N$201,2,FALSE))</f>
        <v/>
      </c>
      <c r="K140" s="76">
        <f>IF($A140="","",VLOOKUP($A140,Catalog!$A$2:$N$201,11,FALSE))</f>
        <v/>
      </c>
      <c r="L140" s="76">
        <f>IF($A140="","",G140*K140)</f>
        <v/>
      </c>
      <c r="M140" s="76">
        <f>IF($A140="","",G140*VLOOKUP($A140,Catalog!$A$2:$N$201,12,FALSE))</f>
        <v/>
      </c>
    </row>
    <row r="141">
      <c r="A141" s="60">
        <f>IF(Catalog!A141="","",Catalog!A141)</f>
        <v/>
      </c>
      <c r="B141" s="60">
        <f>IF($A141="","",VLOOKUP($A141,Catalog!$A$2:$N$201,3,FALSE))</f>
        <v/>
      </c>
      <c r="C141" s="60">
        <f>IF($A141="","",VLOOKUP($A141,Catalog!$A$2:$N$201,4,FALSE))</f>
        <v/>
      </c>
      <c r="D141" s="56">
        <f>IF($A141="","",SUMIFS(Transactions!$H$2:$H$1001,Transactions!$B$2:$B$1001,$A141,Transactions!$E$2:$E$1001,"Studio"))</f>
        <v/>
      </c>
      <c r="E141" s="56">
        <f>IF($A141="","",SUMIFS(Transactions!$H$2:$H$1001,Transactions!$B$2:$B$1001,$A141,Transactions!$E$2:$E$1001,"Knokke"))</f>
        <v/>
      </c>
      <c r="F141" s="56">
        <f>IF($A141="","",SUMIFS(Transactions!$H$2:$H$1001,Transactions!$B$2:$B$1001,$A141,Transactions!$E$2:$E$1001,"Warehouse"))</f>
        <v/>
      </c>
      <c r="G141" s="56">
        <f>IF($A141="","",SUM(D141:F141))</f>
        <v/>
      </c>
      <c r="H141" s="60">
        <f>IF($A141="","",VLOOKUP($A141,Catalog!$A$2:$N$201,13,FALSE))</f>
        <v/>
      </c>
      <c r="I141" s="60">
        <f>IF($A141="","",IF(G141&lt;=0,"Out of stock",IF(G141&lt;=H141,"Reorder","Healthy")))</f>
        <v/>
      </c>
      <c r="J141" s="60">
        <f>IF($A141="","",VLOOKUP($A141,Catalog!$A$2:$N$201,2,FALSE))</f>
        <v/>
      </c>
      <c r="K141" s="76">
        <f>IF($A141="","",VLOOKUP($A141,Catalog!$A$2:$N$201,11,FALSE))</f>
        <v/>
      </c>
      <c r="L141" s="76">
        <f>IF($A141="","",G141*K141)</f>
        <v/>
      </c>
      <c r="M141" s="76">
        <f>IF($A141="","",G141*VLOOKUP($A141,Catalog!$A$2:$N$201,12,FALSE))</f>
        <v/>
      </c>
    </row>
    <row r="142">
      <c r="A142" s="60">
        <f>IF(Catalog!A142="","",Catalog!A142)</f>
        <v/>
      </c>
      <c r="B142" s="60">
        <f>IF($A142="","",VLOOKUP($A142,Catalog!$A$2:$N$201,3,FALSE))</f>
        <v/>
      </c>
      <c r="C142" s="60">
        <f>IF($A142="","",VLOOKUP($A142,Catalog!$A$2:$N$201,4,FALSE))</f>
        <v/>
      </c>
      <c r="D142" s="56">
        <f>IF($A142="","",SUMIFS(Transactions!$H$2:$H$1001,Transactions!$B$2:$B$1001,$A142,Transactions!$E$2:$E$1001,"Studio"))</f>
        <v/>
      </c>
      <c r="E142" s="56">
        <f>IF($A142="","",SUMIFS(Transactions!$H$2:$H$1001,Transactions!$B$2:$B$1001,$A142,Transactions!$E$2:$E$1001,"Knokke"))</f>
        <v/>
      </c>
      <c r="F142" s="56">
        <f>IF($A142="","",SUMIFS(Transactions!$H$2:$H$1001,Transactions!$B$2:$B$1001,$A142,Transactions!$E$2:$E$1001,"Warehouse"))</f>
        <v/>
      </c>
      <c r="G142" s="56">
        <f>IF($A142="","",SUM(D142:F142))</f>
        <v/>
      </c>
      <c r="H142" s="60">
        <f>IF($A142="","",VLOOKUP($A142,Catalog!$A$2:$N$201,13,FALSE))</f>
        <v/>
      </c>
      <c r="I142" s="60">
        <f>IF($A142="","",IF(G142&lt;=0,"Out of stock",IF(G142&lt;=H142,"Reorder","Healthy")))</f>
        <v/>
      </c>
      <c r="J142" s="60">
        <f>IF($A142="","",VLOOKUP($A142,Catalog!$A$2:$N$201,2,FALSE))</f>
        <v/>
      </c>
      <c r="K142" s="76">
        <f>IF($A142="","",VLOOKUP($A142,Catalog!$A$2:$N$201,11,FALSE))</f>
        <v/>
      </c>
      <c r="L142" s="76">
        <f>IF($A142="","",G142*K142)</f>
        <v/>
      </c>
      <c r="M142" s="76">
        <f>IF($A142="","",G142*VLOOKUP($A142,Catalog!$A$2:$N$201,12,FALSE))</f>
        <v/>
      </c>
    </row>
    <row r="143">
      <c r="A143" s="60">
        <f>IF(Catalog!A143="","",Catalog!A143)</f>
        <v/>
      </c>
      <c r="B143" s="60">
        <f>IF($A143="","",VLOOKUP($A143,Catalog!$A$2:$N$201,3,FALSE))</f>
        <v/>
      </c>
      <c r="C143" s="60">
        <f>IF($A143="","",VLOOKUP($A143,Catalog!$A$2:$N$201,4,FALSE))</f>
        <v/>
      </c>
      <c r="D143" s="56">
        <f>IF($A143="","",SUMIFS(Transactions!$H$2:$H$1001,Transactions!$B$2:$B$1001,$A143,Transactions!$E$2:$E$1001,"Studio"))</f>
        <v/>
      </c>
      <c r="E143" s="56">
        <f>IF($A143="","",SUMIFS(Transactions!$H$2:$H$1001,Transactions!$B$2:$B$1001,$A143,Transactions!$E$2:$E$1001,"Knokke"))</f>
        <v/>
      </c>
      <c r="F143" s="56">
        <f>IF($A143="","",SUMIFS(Transactions!$H$2:$H$1001,Transactions!$B$2:$B$1001,$A143,Transactions!$E$2:$E$1001,"Warehouse"))</f>
        <v/>
      </c>
      <c r="G143" s="56">
        <f>IF($A143="","",SUM(D143:F143))</f>
        <v/>
      </c>
      <c r="H143" s="60">
        <f>IF($A143="","",VLOOKUP($A143,Catalog!$A$2:$N$201,13,FALSE))</f>
        <v/>
      </c>
      <c r="I143" s="60">
        <f>IF($A143="","",IF(G143&lt;=0,"Out of stock",IF(G143&lt;=H143,"Reorder","Healthy")))</f>
        <v/>
      </c>
      <c r="J143" s="60">
        <f>IF($A143="","",VLOOKUP($A143,Catalog!$A$2:$N$201,2,FALSE))</f>
        <v/>
      </c>
      <c r="K143" s="76">
        <f>IF($A143="","",VLOOKUP($A143,Catalog!$A$2:$N$201,11,FALSE))</f>
        <v/>
      </c>
      <c r="L143" s="76">
        <f>IF($A143="","",G143*K143)</f>
        <v/>
      </c>
      <c r="M143" s="76">
        <f>IF($A143="","",G143*VLOOKUP($A143,Catalog!$A$2:$N$201,12,FALSE))</f>
        <v/>
      </c>
    </row>
    <row r="144">
      <c r="A144" s="60">
        <f>IF(Catalog!A144="","",Catalog!A144)</f>
        <v/>
      </c>
      <c r="B144" s="60">
        <f>IF($A144="","",VLOOKUP($A144,Catalog!$A$2:$N$201,3,FALSE))</f>
        <v/>
      </c>
      <c r="C144" s="60">
        <f>IF($A144="","",VLOOKUP($A144,Catalog!$A$2:$N$201,4,FALSE))</f>
        <v/>
      </c>
      <c r="D144" s="56">
        <f>IF($A144="","",SUMIFS(Transactions!$H$2:$H$1001,Transactions!$B$2:$B$1001,$A144,Transactions!$E$2:$E$1001,"Studio"))</f>
        <v/>
      </c>
      <c r="E144" s="56">
        <f>IF($A144="","",SUMIFS(Transactions!$H$2:$H$1001,Transactions!$B$2:$B$1001,$A144,Transactions!$E$2:$E$1001,"Knokke"))</f>
        <v/>
      </c>
      <c r="F144" s="56">
        <f>IF($A144="","",SUMIFS(Transactions!$H$2:$H$1001,Transactions!$B$2:$B$1001,$A144,Transactions!$E$2:$E$1001,"Warehouse"))</f>
        <v/>
      </c>
      <c r="G144" s="56">
        <f>IF($A144="","",SUM(D144:F144))</f>
        <v/>
      </c>
      <c r="H144" s="60">
        <f>IF($A144="","",VLOOKUP($A144,Catalog!$A$2:$N$201,13,FALSE))</f>
        <v/>
      </c>
      <c r="I144" s="60">
        <f>IF($A144="","",IF(G144&lt;=0,"Out of stock",IF(G144&lt;=H144,"Reorder","Healthy")))</f>
        <v/>
      </c>
      <c r="J144" s="60">
        <f>IF($A144="","",VLOOKUP($A144,Catalog!$A$2:$N$201,2,FALSE))</f>
        <v/>
      </c>
      <c r="K144" s="76">
        <f>IF($A144="","",VLOOKUP($A144,Catalog!$A$2:$N$201,11,FALSE))</f>
        <v/>
      </c>
      <c r="L144" s="76">
        <f>IF($A144="","",G144*K144)</f>
        <v/>
      </c>
      <c r="M144" s="76">
        <f>IF($A144="","",G144*VLOOKUP($A144,Catalog!$A$2:$N$201,12,FALSE))</f>
        <v/>
      </c>
    </row>
    <row r="145">
      <c r="A145" s="60">
        <f>IF(Catalog!A145="","",Catalog!A145)</f>
        <v/>
      </c>
      <c r="B145" s="60">
        <f>IF($A145="","",VLOOKUP($A145,Catalog!$A$2:$N$201,3,FALSE))</f>
        <v/>
      </c>
      <c r="C145" s="60">
        <f>IF($A145="","",VLOOKUP($A145,Catalog!$A$2:$N$201,4,FALSE))</f>
        <v/>
      </c>
      <c r="D145" s="56">
        <f>IF($A145="","",SUMIFS(Transactions!$H$2:$H$1001,Transactions!$B$2:$B$1001,$A145,Transactions!$E$2:$E$1001,"Studio"))</f>
        <v/>
      </c>
      <c r="E145" s="56">
        <f>IF($A145="","",SUMIFS(Transactions!$H$2:$H$1001,Transactions!$B$2:$B$1001,$A145,Transactions!$E$2:$E$1001,"Knokke"))</f>
        <v/>
      </c>
      <c r="F145" s="56">
        <f>IF($A145="","",SUMIFS(Transactions!$H$2:$H$1001,Transactions!$B$2:$B$1001,$A145,Transactions!$E$2:$E$1001,"Warehouse"))</f>
        <v/>
      </c>
      <c r="G145" s="56">
        <f>IF($A145="","",SUM(D145:F145))</f>
        <v/>
      </c>
      <c r="H145" s="60">
        <f>IF($A145="","",VLOOKUP($A145,Catalog!$A$2:$N$201,13,FALSE))</f>
        <v/>
      </c>
      <c r="I145" s="60">
        <f>IF($A145="","",IF(G145&lt;=0,"Out of stock",IF(G145&lt;=H145,"Reorder","Healthy")))</f>
        <v/>
      </c>
      <c r="J145" s="60">
        <f>IF($A145="","",VLOOKUP($A145,Catalog!$A$2:$N$201,2,FALSE))</f>
        <v/>
      </c>
      <c r="K145" s="76">
        <f>IF($A145="","",VLOOKUP($A145,Catalog!$A$2:$N$201,11,FALSE))</f>
        <v/>
      </c>
      <c r="L145" s="76">
        <f>IF($A145="","",G145*K145)</f>
        <v/>
      </c>
      <c r="M145" s="76">
        <f>IF($A145="","",G145*VLOOKUP($A145,Catalog!$A$2:$N$201,12,FALSE))</f>
        <v/>
      </c>
    </row>
    <row r="146">
      <c r="A146" s="60">
        <f>IF(Catalog!A146="","",Catalog!A146)</f>
        <v/>
      </c>
      <c r="B146" s="60">
        <f>IF($A146="","",VLOOKUP($A146,Catalog!$A$2:$N$201,3,FALSE))</f>
        <v/>
      </c>
      <c r="C146" s="60">
        <f>IF($A146="","",VLOOKUP($A146,Catalog!$A$2:$N$201,4,FALSE))</f>
        <v/>
      </c>
      <c r="D146" s="56">
        <f>IF($A146="","",SUMIFS(Transactions!$H$2:$H$1001,Transactions!$B$2:$B$1001,$A146,Transactions!$E$2:$E$1001,"Studio"))</f>
        <v/>
      </c>
      <c r="E146" s="56">
        <f>IF($A146="","",SUMIFS(Transactions!$H$2:$H$1001,Transactions!$B$2:$B$1001,$A146,Transactions!$E$2:$E$1001,"Knokke"))</f>
        <v/>
      </c>
      <c r="F146" s="56">
        <f>IF($A146="","",SUMIFS(Transactions!$H$2:$H$1001,Transactions!$B$2:$B$1001,$A146,Transactions!$E$2:$E$1001,"Warehouse"))</f>
        <v/>
      </c>
      <c r="G146" s="56">
        <f>IF($A146="","",SUM(D146:F146))</f>
        <v/>
      </c>
      <c r="H146" s="60">
        <f>IF($A146="","",VLOOKUP($A146,Catalog!$A$2:$N$201,13,FALSE))</f>
        <v/>
      </c>
      <c r="I146" s="60">
        <f>IF($A146="","",IF(G146&lt;=0,"Out of stock",IF(G146&lt;=H146,"Reorder","Healthy")))</f>
        <v/>
      </c>
      <c r="J146" s="60">
        <f>IF($A146="","",VLOOKUP($A146,Catalog!$A$2:$N$201,2,FALSE))</f>
        <v/>
      </c>
      <c r="K146" s="76">
        <f>IF($A146="","",VLOOKUP($A146,Catalog!$A$2:$N$201,11,FALSE))</f>
        <v/>
      </c>
      <c r="L146" s="76">
        <f>IF($A146="","",G146*K146)</f>
        <v/>
      </c>
      <c r="M146" s="76">
        <f>IF($A146="","",G146*VLOOKUP($A146,Catalog!$A$2:$N$201,12,FALSE))</f>
        <v/>
      </c>
    </row>
    <row r="147">
      <c r="A147" s="60">
        <f>IF(Catalog!A147="","",Catalog!A147)</f>
        <v/>
      </c>
      <c r="B147" s="60">
        <f>IF($A147="","",VLOOKUP($A147,Catalog!$A$2:$N$201,3,FALSE))</f>
        <v/>
      </c>
      <c r="C147" s="60">
        <f>IF($A147="","",VLOOKUP($A147,Catalog!$A$2:$N$201,4,FALSE))</f>
        <v/>
      </c>
      <c r="D147" s="56">
        <f>IF($A147="","",SUMIFS(Transactions!$H$2:$H$1001,Transactions!$B$2:$B$1001,$A147,Transactions!$E$2:$E$1001,"Studio"))</f>
        <v/>
      </c>
      <c r="E147" s="56">
        <f>IF($A147="","",SUMIFS(Transactions!$H$2:$H$1001,Transactions!$B$2:$B$1001,$A147,Transactions!$E$2:$E$1001,"Knokke"))</f>
        <v/>
      </c>
      <c r="F147" s="56">
        <f>IF($A147="","",SUMIFS(Transactions!$H$2:$H$1001,Transactions!$B$2:$B$1001,$A147,Transactions!$E$2:$E$1001,"Warehouse"))</f>
        <v/>
      </c>
      <c r="G147" s="56">
        <f>IF($A147="","",SUM(D147:F147))</f>
        <v/>
      </c>
      <c r="H147" s="60">
        <f>IF($A147="","",VLOOKUP($A147,Catalog!$A$2:$N$201,13,FALSE))</f>
        <v/>
      </c>
      <c r="I147" s="60">
        <f>IF($A147="","",IF(G147&lt;=0,"Out of stock",IF(G147&lt;=H147,"Reorder","Healthy")))</f>
        <v/>
      </c>
      <c r="J147" s="60">
        <f>IF($A147="","",VLOOKUP($A147,Catalog!$A$2:$N$201,2,FALSE))</f>
        <v/>
      </c>
      <c r="K147" s="76">
        <f>IF($A147="","",VLOOKUP($A147,Catalog!$A$2:$N$201,11,FALSE))</f>
        <v/>
      </c>
      <c r="L147" s="76">
        <f>IF($A147="","",G147*K147)</f>
        <v/>
      </c>
      <c r="M147" s="76">
        <f>IF($A147="","",G147*VLOOKUP($A147,Catalog!$A$2:$N$201,12,FALSE))</f>
        <v/>
      </c>
    </row>
    <row r="148">
      <c r="A148" s="60">
        <f>IF(Catalog!A148="","",Catalog!A148)</f>
        <v/>
      </c>
      <c r="B148" s="60">
        <f>IF($A148="","",VLOOKUP($A148,Catalog!$A$2:$N$201,3,FALSE))</f>
        <v/>
      </c>
      <c r="C148" s="60">
        <f>IF($A148="","",VLOOKUP($A148,Catalog!$A$2:$N$201,4,FALSE))</f>
        <v/>
      </c>
      <c r="D148" s="56">
        <f>IF($A148="","",SUMIFS(Transactions!$H$2:$H$1001,Transactions!$B$2:$B$1001,$A148,Transactions!$E$2:$E$1001,"Studio"))</f>
        <v/>
      </c>
      <c r="E148" s="56">
        <f>IF($A148="","",SUMIFS(Transactions!$H$2:$H$1001,Transactions!$B$2:$B$1001,$A148,Transactions!$E$2:$E$1001,"Knokke"))</f>
        <v/>
      </c>
      <c r="F148" s="56">
        <f>IF($A148="","",SUMIFS(Transactions!$H$2:$H$1001,Transactions!$B$2:$B$1001,$A148,Transactions!$E$2:$E$1001,"Warehouse"))</f>
        <v/>
      </c>
      <c r="G148" s="56">
        <f>IF($A148="","",SUM(D148:F148))</f>
        <v/>
      </c>
      <c r="H148" s="60">
        <f>IF($A148="","",VLOOKUP($A148,Catalog!$A$2:$N$201,13,FALSE))</f>
        <v/>
      </c>
      <c r="I148" s="60">
        <f>IF($A148="","",IF(G148&lt;=0,"Out of stock",IF(G148&lt;=H148,"Reorder","Healthy")))</f>
        <v/>
      </c>
      <c r="J148" s="60">
        <f>IF($A148="","",VLOOKUP($A148,Catalog!$A$2:$N$201,2,FALSE))</f>
        <v/>
      </c>
      <c r="K148" s="76">
        <f>IF($A148="","",VLOOKUP($A148,Catalog!$A$2:$N$201,11,FALSE))</f>
        <v/>
      </c>
      <c r="L148" s="76">
        <f>IF($A148="","",G148*K148)</f>
        <v/>
      </c>
      <c r="M148" s="76">
        <f>IF($A148="","",G148*VLOOKUP($A148,Catalog!$A$2:$N$201,12,FALSE))</f>
        <v/>
      </c>
    </row>
    <row r="149">
      <c r="A149" s="60">
        <f>IF(Catalog!A149="","",Catalog!A149)</f>
        <v/>
      </c>
      <c r="B149" s="60">
        <f>IF($A149="","",VLOOKUP($A149,Catalog!$A$2:$N$201,3,FALSE))</f>
        <v/>
      </c>
      <c r="C149" s="60">
        <f>IF($A149="","",VLOOKUP($A149,Catalog!$A$2:$N$201,4,FALSE))</f>
        <v/>
      </c>
      <c r="D149" s="56">
        <f>IF($A149="","",SUMIFS(Transactions!$H$2:$H$1001,Transactions!$B$2:$B$1001,$A149,Transactions!$E$2:$E$1001,"Studio"))</f>
        <v/>
      </c>
      <c r="E149" s="56">
        <f>IF($A149="","",SUMIFS(Transactions!$H$2:$H$1001,Transactions!$B$2:$B$1001,$A149,Transactions!$E$2:$E$1001,"Knokke"))</f>
        <v/>
      </c>
      <c r="F149" s="56">
        <f>IF($A149="","",SUMIFS(Transactions!$H$2:$H$1001,Transactions!$B$2:$B$1001,$A149,Transactions!$E$2:$E$1001,"Warehouse"))</f>
        <v/>
      </c>
      <c r="G149" s="56">
        <f>IF($A149="","",SUM(D149:F149))</f>
        <v/>
      </c>
      <c r="H149" s="60">
        <f>IF($A149="","",VLOOKUP($A149,Catalog!$A$2:$N$201,13,FALSE))</f>
        <v/>
      </c>
      <c r="I149" s="60">
        <f>IF($A149="","",IF(G149&lt;=0,"Out of stock",IF(G149&lt;=H149,"Reorder","Healthy")))</f>
        <v/>
      </c>
      <c r="J149" s="60">
        <f>IF($A149="","",VLOOKUP($A149,Catalog!$A$2:$N$201,2,FALSE))</f>
        <v/>
      </c>
      <c r="K149" s="76">
        <f>IF($A149="","",VLOOKUP($A149,Catalog!$A$2:$N$201,11,FALSE))</f>
        <v/>
      </c>
      <c r="L149" s="76">
        <f>IF($A149="","",G149*K149)</f>
        <v/>
      </c>
      <c r="M149" s="76">
        <f>IF($A149="","",G149*VLOOKUP($A149,Catalog!$A$2:$N$201,12,FALSE))</f>
        <v/>
      </c>
    </row>
    <row r="150">
      <c r="A150" s="60">
        <f>IF(Catalog!A150="","",Catalog!A150)</f>
        <v/>
      </c>
      <c r="B150" s="60">
        <f>IF($A150="","",VLOOKUP($A150,Catalog!$A$2:$N$201,3,FALSE))</f>
        <v/>
      </c>
      <c r="C150" s="60">
        <f>IF($A150="","",VLOOKUP($A150,Catalog!$A$2:$N$201,4,FALSE))</f>
        <v/>
      </c>
      <c r="D150" s="56">
        <f>IF($A150="","",SUMIFS(Transactions!$H$2:$H$1001,Transactions!$B$2:$B$1001,$A150,Transactions!$E$2:$E$1001,"Studio"))</f>
        <v/>
      </c>
      <c r="E150" s="56">
        <f>IF($A150="","",SUMIFS(Transactions!$H$2:$H$1001,Transactions!$B$2:$B$1001,$A150,Transactions!$E$2:$E$1001,"Knokke"))</f>
        <v/>
      </c>
      <c r="F150" s="56">
        <f>IF($A150="","",SUMIFS(Transactions!$H$2:$H$1001,Transactions!$B$2:$B$1001,$A150,Transactions!$E$2:$E$1001,"Warehouse"))</f>
        <v/>
      </c>
      <c r="G150" s="56">
        <f>IF($A150="","",SUM(D150:F150))</f>
        <v/>
      </c>
      <c r="H150" s="60">
        <f>IF($A150="","",VLOOKUP($A150,Catalog!$A$2:$N$201,13,FALSE))</f>
        <v/>
      </c>
      <c r="I150" s="60">
        <f>IF($A150="","",IF(G150&lt;=0,"Out of stock",IF(G150&lt;=H150,"Reorder","Healthy")))</f>
        <v/>
      </c>
      <c r="J150" s="60">
        <f>IF($A150="","",VLOOKUP($A150,Catalog!$A$2:$N$201,2,FALSE))</f>
        <v/>
      </c>
      <c r="K150" s="76">
        <f>IF($A150="","",VLOOKUP($A150,Catalog!$A$2:$N$201,11,FALSE))</f>
        <v/>
      </c>
      <c r="L150" s="76">
        <f>IF($A150="","",G150*K150)</f>
        <v/>
      </c>
      <c r="M150" s="76">
        <f>IF($A150="","",G150*VLOOKUP($A150,Catalog!$A$2:$N$201,12,FALSE))</f>
        <v/>
      </c>
    </row>
    <row r="151">
      <c r="A151" s="60">
        <f>IF(Catalog!A151="","",Catalog!A151)</f>
        <v/>
      </c>
      <c r="B151" s="60">
        <f>IF($A151="","",VLOOKUP($A151,Catalog!$A$2:$N$201,3,FALSE))</f>
        <v/>
      </c>
      <c r="C151" s="60">
        <f>IF($A151="","",VLOOKUP($A151,Catalog!$A$2:$N$201,4,FALSE))</f>
        <v/>
      </c>
      <c r="D151" s="56">
        <f>IF($A151="","",SUMIFS(Transactions!$H$2:$H$1001,Transactions!$B$2:$B$1001,$A151,Transactions!$E$2:$E$1001,"Studio"))</f>
        <v/>
      </c>
      <c r="E151" s="56">
        <f>IF($A151="","",SUMIFS(Transactions!$H$2:$H$1001,Transactions!$B$2:$B$1001,$A151,Transactions!$E$2:$E$1001,"Knokke"))</f>
        <v/>
      </c>
      <c r="F151" s="56">
        <f>IF($A151="","",SUMIFS(Transactions!$H$2:$H$1001,Transactions!$B$2:$B$1001,$A151,Transactions!$E$2:$E$1001,"Warehouse"))</f>
        <v/>
      </c>
      <c r="G151" s="56">
        <f>IF($A151="","",SUM(D151:F151))</f>
        <v/>
      </c>
      <c r="H151" s="60">
        <f>IF($A151="","",VLOOKUP($A151,Catalog!$A$2:$N$201,13,FALSE))</f>
        <v/>
      </c>
      <c r="I151" s="60">
        <f>IF($A151="","",IF(G151&lt;=0,"Out of stock",IF(G151&lt;=H151,"Reorder","Healthy")))</f>
        <v/>
      </c>
      <c r="J151" s="60">
        <f>IF($A151="","",VLOOKUP($A151,Catalog!$A$2:$N$201,2,FALSE))</f>
        <v/>
      </c>
      <c r="K151" s="76">
        <f>IF($A151="","",VLOOKUP($A151,Catalog!$A$2:$N$201,11,FALSE))</f>
        <v/>
      </c>
      <c r="L151" s="76">
        <f>IF($A151="","",G151*K151)</f>
        <v/>
      </c>
      <c r="M151" s="76">
        <f>IF($A151="","",G151*VLOOKUP($A151,Catalog!$A$2:$N$201,12,FALSE))</f>
        <v/>
      </c>
    </row>
    <row r="152">
      <c r="A152" s="60">
        <f>IF(Catalog!A152="","",Catalog!A152)</f>
        <v/>
      </c>
      <c r="B152" s="60">
        <f>IF($A152="","",VLOOKUP($A152,Catalog!$A$2:$N$201,3,FALSE))</f>
        <v/>
      </c>
      <c r="C152" s="60">
        <f>IF($A152="","",VLOOKUP($A152,Catalog!$A$2:$N$201,4,FALSE))</f>
        <v/>
      </c>
      <c r="D152" s="56">
        <f>IF($A152="","",SUMIFS(Transactions!$H$2:$H$1001,Transactions!$B$2:$B$1001,$A152,Transactions!$E$2:$E$1001,"Studio"))</f>
        <v/>
      </c>
      <c r="E152" s="56">
        <f>IF($A152="","",SUMIFS(Transactions!$H$2:$H$1001,Transactions!$B$2:$B$1001,$A152,Transactions!$E$2:$E$1001,"Knokke"))</f>
        <v/>
      </c>
      <c r="F152" s="56">
        <f>IF($A152="","",SUMIFS(Transactions!$H$2:$H$1001,Transactions!$B$2:$B$1001,$A152,Transactions!$E$2:$E$1001,"Warehouse"))</f>
        <v/>
      </c>
      <c r="G152" s="56">
        <f>IF($A152="","",SUM(D152:F152))</f>
        <v/>
      </c>
      <c r="H152" s="60">
        <f>IF($A152="","",VLOOKUP($A152,Catalog!$A$2:$N$201,13,FALSE))</f>
        <v/>
      </c>
      <c r="I152" s="60">
        <f>IF($A152="","",IF(G152&lt;=0,"Out of stock",IF(G152&lt;=H152,"Reorder","Healthy")))</f>
        <v/>
      </c>
      <c r="J152" s="60">
        <f>IF($A152="","",VLOOKUP($A152,Catalog!$A$2:$N$201,2,FALSE))</f>
        <v/>
      </c>
      <c r="K152" s="76">
        <f>IF($A152="","",VLOOKUP($A152,Catalog!$A$2:$N$201,11,FALSE))</f>
        <v/>
      </c>
      <c r="L152" s="76">
        <f>IF($A152="","",G152*K152)</f>
        <v/>
      </c>
      <c r="M152" s="76">
        <f>IF($A152="","",G152*VLOOKUP($A152,Catalog!$A$2:$N$201,12,FALSE))</f>
        <v/>
      </c>
    </row>
    <row r="153">
      <c r="A153" s="60">
        <f>IF(Catalog!A153="","",Catalog!A153)</f>
        <v/>
      </c>
      <c r="B153" s="60">
        <f>IF($A153="","",VLOOKUP($A153,Catalog!$A$2:$N$201,3,FALSE))</f>
        <v/>
      </c>
      <c r="C153" s="60">
        <f>IF($A153="","",VLOOKUP($A153,Catalog!$A$2:$N$201,4,FALSE))</f>
        <v/>
      </c>
      <c r="D153" s="56">
        <f>IF($A153="","",SUMIFS(Transactions!$H$2:$H$1001,Transactions!$B$2:$B$1001,$A153,Transactions!$E$2:$E$1001,"Studio"))</f>
        <v/>
      </c>
      <c r="E153" s="56">
        <f>IF($A153="","",SUMIFS(Transactions!$H$2:$H$1001,Transactions!$B$2:$B$1001,$A153,Transactions!$E$2:$E$1001,"Knokke"))</f>
        <v/>
      </c>
      <c r="F153" s="56">
        <f>IF($A153="","",SUMIFS(Transactions!$H$2:$H$1001,Transactions!$B$2:$B$1001,$A153,Transactions!$E$2:$E$1001,"Warehouse"))</f>
        <v/>
      </c>
      <c r="G153" s="56">
        <f>IF($A153="","",SUM(D153:F153))</f>
        <v/>
      </c>
      <c r="H153" s="60">
        <f>IF($A153="","",VLOOKUP($A153,Catalog!$A$2:$N$201,13,FALSE))</f>
        <v/>
      </c>
      <c r="I153" s="60">
        <f>IF($A153="","",IF(G153&lt;=0,"Out of stock",IF(G153&lt;=H153,"Reorder","Healthy")))</f>
        <v/>
      </c>
      <c r="J153" s="60">
        <f>IF($A153="","",VLOOKUP($A153,Catalog!$A$2:$N$201,2,FALSE))</f>
        <v/>
      </c>
      <c r="K153" s="76">
        <f>IF($A153="","",VLOOKUP($A153,Catalog!$A$2:$N$201,11,FALSE))</f>
        <v/>
      </c>
      <c r="L153" s="76">
        <f>IF($A153="","",G153*K153)</f>
        <v/>
      </c>
      <c r="M153" s="76">
        <f>IF($A153="","",G153*VLOOKUP($A153,Catalog!$A$2:$N$201,12,FALSE))</f>
        <v/>
      </c>
    </row>
    <row r="154">
      <c r="A154" s="60">
        <f>IF(Catalog!A154="","",Catalog!A154)</f>
        <v/>
      </c>
      <c r="B154" s="60">
        <f>IF($A154="","",VLOOKUP($A154,Catalog!$A$2:$N$201,3,FALSE))</f>
        <v/>
      </c>
      <c r="C154" s="60">
        <f>IF($A154="","",VLOOKUP($A154,Catalog!$A$2:$N$201,4,FALSE))</f>
        <v/>
      </c>
      <c r="D154" s="56">
        <f>IF($A154="","",SUMIFS(Transactions!$H$2:$H$1001,Transactions!$B$2:$B$1001,$A154,Transactions!$E$2:$E$1001,"Studio"))</f>
        <v/>
      </c>
      <c r="E154" s="56">
        <f>IF($A154="","",SUMIFS(Transactions!$H$2:$H$1001,Transactions!$B$2:$B$1001,$A154,Transactions!$E$2:$E$1001,"Knokke"))</f>
        <v/>
      </c>
      <c r="F154" s="56">
        <f>IF($A154="","",SUMIFS(Transactions!$H$2:$H$1001,Transactions!$B$2:$B$1001,$A154,Transactions!$E$2:$E$1001,"Warehouse"))</f>
        <v/>
      </c>
      <c r="G154" s="56">
        <f>IF($A154="","",SUM(D154:F154))</f>
        <v/>
      </c>
      <c r="H154" s="60">
        <f>IF($A154="","",VLOOKUP($A154,Catalog!$A$2:$N$201,13,FALSE))</f>
        <v/>
      </c>
      <c r="I154" s="60">
        <f>IF($A154="","",IF(G154&lt;=0,"Out of stock",IF(G154&lt;=H154,"Reorder","Healthy")))</f>
        <v/>
      </c>
      <c r="J154" s="60">
        <f>IF($A154="","",VLOOKUP($A154,Catalog!$A$2:$N$201,2,FALSE))</f>
        <v/>
      </c>
      <c r="K154" s="76">
        <f>IF($A154="","",VLOOKUP($A154,Catalog!$A$2:$N$201,11,FALSE))</f>
        <v/>
      </c>
      <c r="L154" s="76">
        <f>IF($A154="","",G154*K154)</f>
        <v/>
      </c>
      <c r="M154" s="76">
        <f>IF($A154="","",G154*VLOOKUP($A154,Catalog!$A$2:$N$201,12,FALSE))</f>
        <v/>
      </c>
    </row>
    <row r="155">
      <c r="A155" s="60">
        <f>IF(Catalog!A155="","",Catalog!A155)</f>
        <v/>
      </c>
      <c r="B155" s="60">
        <f>IF($A155="","",VLOOKUP($A155,Catalog!$A$2:$N$201,3,FALSE))</f>
        <v/>
      </c>
      <c r="C155" s="60">
        <f>IF($A155="","",VLOOKUP($A155,Catalog!$A$2:$N$201,4,FALSE))</f>
        <v/>
      </c>
      <c r="D155" s="56">
        <f>IF($A155="","",SUMIFS(Transactions!$H$2:$H$1001,Transactions!$B$2:$B$1001,$A155,Transactions!$E$2:$E$1001,"Studio"))</f>
        <v/>
      </c>
      <c r="E155" s="56">
        <f>IF($A155="","",SUMIFS(Transactions!$H$2:$H$1001,Transactions!$B$2:$B$1001,$A155,Transactions!$E$2:$E$1001,"Knokke"))</f>
        <v/>
      </c>
      <c r="F155" s="56">
        <f>IF($A155="","",SUMIFS(Transactions!$H$2:$H$1001,Transactions!$B$2:$B$1001,$A155,Transactions!$E$2:$E$1001,"Warehouse"))</f>
        <v/>
      </c>
      <c r="G155" s="56">
        <f>IF($A155="","",SUM(D155:F155))</f>
        <v/>
      </c>
      <c r="H155" s="60">
        <f>IF($A155="","",VLOOKUP($A155,Catalog!$A$2:$N$201,13,FALSE))</f>
        <v/>
      </c>
      <c r="I155" s="60">
        <f>IF($A155="","",IF(G155&lt;=0,"Out of stock",IF(G155&lt;=H155,"Reorder","Healthy")))</f>
        <v/>
      </c>
      <c r="J155" s="60">
        <f>IF($A155="","",VLOOKUP($A155,Catalog!$A$2:$N$201,2,FALSE))</f>
        <v/>
      </c>
      <c r="K155" s="76">
        <f>IF($A155="","",VLOOKUP($A155,Catalog!$A$2:$N$201,11,FALSE))</f>
        <v/>
      </c>
      <c r="L155" s="76">
        <f>IF($A155="","",G155*K155)</f>
        <v/>
      </c>
      <c r="M155" s="76">
        <f>IF($A155="","",G155*VLOOKUP($A155,Catalog!$A$2:$N$201,12,FALSE))</f>
        <v/>
      </c>
    </row>
    <row r="156">
      <c r="A156" s="60">
        <f>IF(Catalog!A156="","",Catalog!A156)</f>
        <v/>
      </c>
      <c r="B156" s="60">
        <f>IF($A156="","",VLOOKUP($A156,Catalog!$A$2:$N$201,3,FALSE))</f>
        <v/>
      </c>
      <c r="C156" s="60">
        <f>IF($A156="","",VLOOKUP($A156,Catalog!$A$2:$N$201,4,FALSE))</f>
        <v/>
      </c>
      <c r="D156" s="56">
        <f>IF($A156="","",SUMIFS(Transactions!$H$2:$H$1001,Transactions!$B$2:$B$1001,$A156,Transactions!$E$2:$E$1001,"Studio"))</f>
        <v/>
      </c>
      <c r="E156" s="56">
        <f>IF($A156="","",SUMIFS(Transactions!$H$2:$H$1001,Transactions!$B$2:$B$1001,$A156,Transactions!$E$2:$E$1001,"Knokke"))</f>
        <v/>
      </c>
      <c r="F156" s="56">
        <f>IF($A156="","",SUMIFS(Transactions!$H$2:$H$1001,Transactions!$B$2:$B$1001,$A156,Transactions!$E$2:$E$1001,"Warehouse"))</f>
        <v/>
      </c>
      <c r="G156" s="56">
        <f>IF($A156="","",SUM(D156:F156))</f>
        <v/>
      </c>
      <c r="H156" s="60">
        <f>IF($A156="","",VLOOKUP($A156,Catalog!$A$2:$N$201,13,FALSE))</f>
        <v/>
      </c>
      <c r="I156" s="60">
        <f>IF($A156="","",IF(G156&lt;=0,"Out of stock",IF(G156&lt;=H156,"Reorder","Healthy")))</f>
        <v/>
      </c>
      <c r="J156" s="60">
        <f>IF($A156="","",VLOOKUP($A156,Catalog!$A$2:$N$201,2,FALSE))</f>
        <v/>
      </c>
      <c r="K156" s="76">
        <f>IF($A156="","",VLOOKUP($A156,Catalog!$A$2:$N$201,11,FALSE))</f>
        <v/>
      </c>
      <c r="L156" s="76">
        <f>IF($A156="","",G156*K156)</f>
        <v/>
      </c>
      <c r="M156" s="76">
        <f>IF($A156="","",G156*VLOOKUP($A156,Catalog!$A$2:$N$201,12,FALSE))</f>
        <v/>
      </c>
    </row>
    <row r="157">
      <c r="A157" s="60">
        <f>IF(Catalog!A157="","",Catalog!A157)</f>
        <v/>
      </c>
      <c r="B157" s="60">
        <f>IF($A157="","",VLOOKUP($A157,Catalog!$A$2:$N$201,3,FALSE))</f>
        <v/>
      </c>
      <c r="C157" s="60">
        <f>IF($A157="","",VLOOKUP($A157,Catalog!$A$2:$N$201,4,FALSE))</f>
        <v/>
      </c>
      <c r="D157" s="56">
        <f>IF($A157="","",SUMIFS(Transactions!$H$2:$H$1001,Transactions!$B$2:$B$1001,$A157,Transactions!$E$2:$E$1001,"Studio"))</f>
        <v/>
      </c>
      <c r="E157" s="56">
        <f>IF($A157="","",SUMIFS(Transactions!$H$2:$H$1001,Transactions!$B$2:$B$1001,$A157,Transactions!$E$2:$E$1001,"Knokke"))</f>
        <v/>
      </c>
      <c r="F157" s="56">
        <f>IF($A157="","",SUMIFS(Transactions!$H$2:$H$1001,Transactions!$B$2:$B$1001,$A157,Transactions!$E$2:$E$1001,"Warehouse"))</f>
        <v/>
      </c>
      <c r="G157" s="56">
        <f>IF($A157="","",SUM(D157:F157))</f>
        <v/>
      </c>
      <c r="H157" s="60">
        <f>IF($A157="","",VLOOKUP($A157,Catalog!$A$2:$N$201,13,FALSE))</f>
        <v/>
      </c>
      <c r="I157" s="60">
        <f>IF($A157="","",IF(G157&lt;=0,"Out of stock",IF(G157&lt;=H157,"Reorder","Healthy")))</f>
        <v/>
      </c>
      <c r="J157" s="60">
        <f>IF($A157="","",VLOOKUP($A157,Catalog!$A$2:$N$201,2,FALSE))</f>
        <v/>
      </c>
      <c r="K157" s="76">
        <f>IF($A157="","",VLOOKUP($A157,Catalog!$A$2:$N$201,11,FALSE))</f>
        <v/>
      </c>
      <c r="L157" s="76">
        <f>IF($A157="","",G157*K157)</f>
        <v/>
      </c>
      <c r="M157" s="76">
        <f>IF($A157="","",G157*VLOOKUP($A157,Catalog!$A$2:$N$201,12,FALSE))</f>
        <v/>
      </c>
    </row>
    <row r="158">
      <c r="A158" s="60">
        <f>IF(Catalog!A158="","",Catalog!A158)</f>
        <v/>
      </c>
      <c r="B158" s="60">
        <f>IF($A158="","",VLOOKUP($A158,Catalog!$A$2:$N$201,3,FALSE))</f>
        <v/>
      </c>
      <c r="C158" s="60">
        <f>IF($A158="","",VLOOKUP($A158,Catalog!$A$2:$N$201,4,FALSE))</f>
        <v/>
      </c>
      <c r="D158" s="56">
        <f>IF($A158="","",SUMIFS(Transactions!$H$2:$H$1001,Transactions!$B$2:$B$1001,$A158,Transactions!$E$2:$E$1001,"Studio"))</f>
        <v/>
      </c>
      <c r="E158" s="56">
        <f>IF($A158="","",SUMIFS(Transactions!$H$2:$H$1001,Transactions!$B$2:$B$1001,$A158,Transactions!$E$2:$E$1001,"Knokke"))</f>
        <v/>
      </c>
      <c r="F158" s="56">
        <f>IF($A158="","",SUMIFS(Transactions!$H$2:$H$1001,Transactions!$B$2:$B$1001,$A158,Transactions!$E$2:$E$1001,"Warehouse"))</f>
        <v/>
      </c>
      <c r="G158" s="56">
        <f>IF($A158="","",SUM(D158:F158))</f>
        <v/>
      </c>
      <c r="H158" s="60">
        <f>IF($A158="","",VLOOKUP($A158,Catalog!$A$2:$N$201,13,FALSE))</f>
        <v/>
      </c>
      <c r="I158" s="60">
        <f>IF($A158="","",IF(G158&lt;=0,"Out of stock",IF(G158&lt;=H158,"Reorder","Healthy")))</f>
        <v/>
      </c>
      <c r="J158" s="60">
        <f>IF($A158="","",VLOOKUP($A158,Catalog!$A$2:$N$201,2,FALSE))</f>
        <v/>
      </c>
      <c r="K158" s="76">
        <f>IF($A158="","",VLOOKUP($A158,Catalog!$A$2:$N$201,11,FALSE))</f>
        <v/>
      </c>
      <c r="L158" s="76">
        <f>IF($A158="","",G158*K158)</f>
        <v/>
      </c>
      <c r="M158" s="76">
        <f>IF($A158="","",G158*VLOOKUP($A158,Catalog!$A$2:$N$201,12,FALSE))</f>
        <v/>
      </c>
    </row>
    <row r="159">
      <c r="A159" s="60">
        <f>IF(Catalog!A159="","",Catalog!A159)</f>
        <v/>
      </c>
      <c r="B159" s="60">
        <f>IF($A159="","",VLOOKUP($A159,Catalog!$A$2:$N$201,3,FALSE))</f>
        <v/>
      </c>
      <c r="C159" s="60">
        <f>IF($A159="","",VLOOKUP($A159,Catalog!$A$2:$N$201,4,FALSE))</f>
        <v/>
      </c>
      <c r="D159" s="56">
        <f>IF($A159="","",SUMIFS(Transactions!$H$2:$H$1001,Transactions!$B$2:$B$1001,$A159,Transactions!$E$2:$E$1001,"Studio"))</f>
        <v/>
      </c>
      <c r="E159" s="56">
        <f>IF($A159="","",SUMIFS(Transactions!$H$2:$H$1001,Transactions!$B$2:$B$1001,$A159,Transactions!$E$2:$E$1001,"Knokke"))</f>
        <v/>
      </c>
      <c r="F159" s="56">
        <f>IF($A159="","",SUMIFS(Transactions!$H$2:$H$1001,Transactions!$B$2:$B$1001,$A159,Transactions!$E$2:$E$1001,"Warehouse"))</f>
        <v/>
      </c>
      <c r="G159" s="56">
        <f>IF($A159="","",SUM(D159:F159))</f>
        <v/>
      </c>
      <c r="H159" s="60">
        <f>IF($A159="","",VLOOKUP($A159,Catalog!$A$2:$N$201,13,FALSE))</f>
        <v/>
      </c>
      <c r="I159" s="60">
        <f>IF($A159="","",IF(G159&lt;=0,"Out of stock",IF(G159&lt;=H159,"Reorder","Healthy")))</f>
        <v/>
      </c>
      <c r="J159" s="60">
        <f>IF($A159="","",VLOOKUP($A159,Catalog!$A$2:$N$201,2,FALSE))</f>
        <v/>
      </c>
      <c r="K159" s="76">
        <f>IF($A159="","",VLOOKUP($A159,Catalog!$A$2:$N$201,11,FALSE))</f>
        <v/>
      </c>
      <c r="L159" s="76">
        <f>IF($A159="","",G159*K159)</f>
        <v/>
      </c>
      <c r="M159" s="76">
        <f>IF($A159="","",G159*VLOOKUP($A159,Catalog!$A$2:$N$201,12,FALSE))</f>
        <v/>
      </c>
    </row>
    <row r="160">
      <c r="A160" s="60">
        <f>IF(Catalog!A160="","",Catalog!A160)</f>
        <v/>
      </c>
      <c r="B160" s="60">
        <f>IF($A160="","",VLOOKUP($A160,Catalog!$A$2:$N$201,3,FALSE))</f>
        <v/>
      </c>
      <c r="C160" s="60">
        <f>IF($A160="","",VLOOKUP($A160,Catalog!$A$2:$N$201,4,FALSE))</f>
        <v/>
      </c>
      <c r="D160" s="56">
        <f>IF($A160="","",SUMIFS(Transactions!$H$2:$H$1001,Transactions!$B$2:$B$1001,$A160,Transactions!$E$2:$E$1001,"Studio"))</f>
        <v/>
      </c>
      <c r="E160" s="56">
        <f>IF($A160="","",SUMIFS(Transactions!$H$2:$H$1001,Transactions!$B$2:$B$1001,$A160,Transactions!$E$2:$E$1001,"Knokke"))</f>
        <v/>
      </c>
      <c r="F160" s="56">
        <f>IF($A160="","",SUMIFS(Transactions!$H$2:$H$1001,Transactions!$B$2:$B$1001,$A160,Transactions!$E$2:$E$1001,"Warehouse"))</f>
        <v/>
      </c>
      <c r="G160" s="56">
        <f>IF($A160="","",SUM(D160:F160))</f>
        <v/>
      </c>
      <c r="H160" s="60">
        <f>IF($A160="","",VLOOKUP($A160,Catalog!$A$2:$N$201,13,FALSE))</f>
        <v/>
      </c>
      <c r="I160" s="60">
        <f>IF($A160="","",IF(G160&lt;=0,"Out of stock",IF(G160&lt;=H160,"Reorder","Healthy")))</f>
        <v/>
      </c>
      <c r="J160" s="60">
        <f>IF($A160="","",VLOOKUP($A160,Catalog!$A$2:$N$201,2,FALSE))</f>
        <v/>
      </c>
      <c r="K160" s="76">
        <f>IF($A160="","",VLOOKUP($A160,Catalog!$A$2:$N$201,11,FALSE))</f>
        <v/>
      </c>
      <c r="L160" s="76">
        <f>IF($A160="","",G160*K160)</f>
        <v/>
      </c>
      <c r="M160" s="76">
        <f>IF($A160="","",G160*VLOOKUP($A160,Catalog!$A$2:$N$201,12,FALSE))</f>
        <v/>
      </c>
    </row>
    <row r="161">
      <c r="A161" s="60">
        <f>IF(Catalog!A161="","",Catalog!A161)</f>
        <v/>
      </c>
      <c r="B161" s="60">
        <f>IF($A161="","",VLOOKUP($A161,Catalog!$A$2:$N$201,3,FALSE))</f>
        <v/>
      </c>
      <c r="C161" s="60">
        <f>IF($A161="","",VLOOKUP($A161,Catalog!$A$2:$N$201,4,FALSE))</f>
        <v/>
      </c>
      <c r="D161" s="56">
        <f>IF($A161="","",SUMIFS(Transactions!$H$2:$H$1001,Transactions!$B$2:$B$1001,$A161,Transactions!$E$2:$E$1001,"Studio"))</f>
        <v/>
      </c>
      <c r="E161" s="56">
        <f>IF($A161="","",SUMIFS(Transactions!$H$2:$H$1001,Transactions!$B$2:$B$1001,$A161,Transactions!$E$2:$E$1001,"Knokke"))</f>
        <v/>
      </c>
      <c r="F161" s="56">
        <f>IF($A161="","",SUMIFS(Transactions!$H$2:$H$1001,Transactions!$B$2:$B$1001,$A161,Transactions!$E$2:$E$1001,"Warehouse"))</f>
        <v/>
      </c>
      <c r="G161" s="56">
        <f>IF($A161="","",SUM(D161:F161))</f>
        <v/>
      </c>
      <c r="H161" s="60">
        <f>IF($A161="","",VLOOKUP($A161,Catalog!$A$2:$N$201,13,FALSE))</f>
        <v/>
      </c>
      <c r="I161" s="60">
        <f>IF($A161="","",IF(G161&lt;=0,"Out of stock",IF(G161&lt;=H161,"Reorder","Healthy")))</f>
        <v/>
      </c>
      <c r="J161" s="60">
        <f>IF($A161="","",VLOOKUP($A161,Catalog!$A$2:$N$201,2,FALSE))</f>
        <v/>
      </c>
      <c r="K161" s="76">
        <f>IF($A161="","",VLOOKUP($A161,Catalog!$A$2:$N$201,11,FALSE))</f>
        <v/>
      </c>
      <c r="L161" s="76">
        <f>IF($A161="","",G161*K161)</f>
        <v/>
      </c>
      <c r="M161" s="76">
        <f>IF($A161="","",G161*VLOOKUP($A161,Catalog!$A$2:$N$201,12,FALSE))</f>
        <v/>
      </c>
    </row>
    <row r="162">
      <c r="A162" s="60">
        <f>IF(Catalog!A162="","",Catalog!A162)</f>
        <v/>
      </c>
      <c r="B162" s="60">
        <f>IF($A162="","",VLOOKUP($A162,Catalog!$A$2:$N$201,3,FALSE))</f>
        <v/>
      </c>
      <c r="C162" s="60">
        <f>IF($A162="","",VLOOKUP($A162,Catalog!$A$2:$N$201,4,FALSE))</f>
        <v/>
      </c>
      <c r="D162" s="56">
        <f>IF($A162="","",SUMIFS(Transactions!$H$2:$H$1001,Transactions!$B$2:$B$1001,$A162,Transactions!$E$2:$E$1001,"Studio"))</f>
        <v/>
      </c>
      <c r="E162" s="56">
        <f>IF($A162="","",SUMIFS(Transactions!$H$2:$H$1001,Transactions!$B$2:$B$1001,$A162,Transactions!$E$2:$E$1001,"Knokke"))</f>
        <v/>
      </c>
      <c r="F162" s="56">
        <f>IF($A162="","",SUMIFS(Transactions!$H$2:$H$1001,Transactions!$B$2:$B$1001,$A162,Transactions!$E$2:$E$1001,"Warehouse"))</f>
        <v/>
      </c>
      <c r="G162" s="56">
        <f>IF($A162="","",SUM(D162:F162))</f>
        <v/>
      </c>
      <c r="H162" s="60">
        <f>IF($A162="","",VLOOKUP($A162,Catalog!$A$2:$N$201,13,FALSE))</f>
        <v/>
      </c>
      <c r="I162" s="60">
        <f>IF($A162="","",IF(G162&lt;=0,"Out of stock",IF(G162&lt;=H162,"Reorder","Healthy")))</f>
        <v/>
      </c>
      <c r="J162" s="60">
        <f>IF($A162="","",VLOOKUP($A162,Catalog!$A$2:$N$201,2,FALSE))</f>
        <v/>
      </c>
      <c r="K162" s="76">
        <f>IF($A162="","",VLOOKUP($A162,Catalog!$A$2:$N$201,11,FALSE))</f>
        <v/>
      </c>
      <c r="L162" s="76">
        <f>IF($A162="","",G162*K162)</f>
        <v/>
      </c>
      <c r="M162" s="76">
        <f>IF($A162="","",G162*VLOOKUP($A162,Catalog!$A$2:$N$201,12,FALSE))</f>
        <v/>
      </c>
    </row>
    <row r="163">
      <c r="A163" s="60">
        <f>IF(Catalog!A163="","",Catalog!A163)</f>
        <v/>
      </c>
      <c r="B163" s="60">
        <f>IF($A163="","",VLOOKUP($A163,Catalog!$A$2:$N$201,3,FALSE))</f>
        <v/>
      </c>
      <c r="C163" s="60">
        <f>IF($A163="","",VLOOKUP($A163,Catalog!$A$2:$N$201,4,FALSE))</f>
        <v/>
      </c>
      <c r="D163" s="56">
        <f>IF($A163="","",SUMIFS(Transactions!$H$2:$H$1001,Transactions!$B$2:$B$1001,$A163,Transactions!$E$2:$E$1001,"Studio"))</f>
        <v/>
      </c>
      <c r="E163" s="56">
        <f>IF($A163="","",SUMIFS(Transactions!$H$2:$H$1001,Transactions!$B$2:$B$1001,$A163,Transactions!$E$2:$E$1001,"Knokke"))</f>
        <v/>
      </c>
      <c r="F163" s="56">
        <f>IF($A163="","",SUMIFS(Transactions!$H$2:$H$1001,Transactions!$B$2:$B$1001,$A163,Transactions!$E$2:$E$1001,"Warehouse"))</f>
        <v/>
      </c>
      <c r="G163" s="56">
        <f>IF($A163="","",SUM(D163:F163))</f>
        <v/>
      </c>
      <c r="H163" s="60">
        <f>IF($A163="","",VLOOKUP($A163,Catalog!$A$2:$N$201,13,FALSE))</f>
        <v/>
      </c>
      <c r="I163" s="60">
        <f>IF($A163="","",IF(G163&lt;=0,"Out of stock",IF(G163&lt;=H163,"Reorder","Healthy")))</f>
        <v/>
      </c>
      <c r="J163" s="60">
        <f>IF($A163="","",VLOOKUP($A163,Catalog!$A$2:$N$201,2,FALSE))</f>
        <v/>
      </c>
      <c r="K163" s="76">
        <f>IF($A163="","",VLOOKUP($A163,Catalog!$A$2:$N$201,11,FALSE))</f>
        <v/>
      </c>
      <c r="L163" s="76">
        <f>IF($A163="","",G163*K163)</f>
        <v/>
      </c>
      <c r="M163" s="76">
        <f>IF($A163="","",G163*VLOOKUP($A163,Catalog!$A$2:$N$201,12,FALSE))</f>
        <v/>
      </c>
    </row>
    <row r="164">
      <c r="A164" s="60">
        <f>IF(Catalog!A164="","",Catalog!A164)</f>
        <v/>
      </c>
      <c r="B164" s="60">
        <f>IF($A164="","",VLOOKUP($A164,Catalog!$A$2:$N$201,3,FALSE))</f>
        <v/>
      </c>
      <c r="C164" s="60">
        <f>IF($A164="","",VLOOKUP($A164,Catalog!$A$2:$N$201,4,FALSE))</f>
        <v/>
      </c>
      <c r="D164" s="56">
        <f>IF($A164="","",SUMIFS(Transactions!$H$2:$H$1001,Transactions!$B$2:$B$1001,$A164,Transactions!$E$2:$E$1001,"Studio"))</f>
        <v/>
      </c>
      <c r="E164" s="56">
        <f>IF($A164="","",SUMIFS(Transactions!$H$2:$H$1001,Transactions!$B$2:$B$1001,$A164,Transactions!$E$2:$E$1001,"Knokke"))</f>
        <v/>
      </c>
      <c r="F164" s="56">
        <f>IF($A164="","",SUMIFS(Transactions!$H$2:$H$1001,Transactions!$B$2:$B$1001,$A164,Transactions!$E$2:$E$1001,"Warehouse"))</f>
        <v/>
      </c>
      <c r="G164" s="56">
        <f>IF($A164="","",SUM(D164:F164))</f>
        <v/>
      </c>
      <c r="H164" s="60">
        <f>IF($A164="","",VLOOKUP($A164,Catalog!$A$2:$N$201,13,FALSE))</f>
        <v/>
      </c>
      <c r="I164" s="60">
        <f>IF($A164="","",IF(G164&lt;=0,"Out of stock",IF(G164&lt;=H164,"Reorder","Healthy")))</f>
        <v/>
      </c>
      <c r="J164" s="60">
        <f>IF($A164="","",VLOOKUP($A164,Catalog!$A$2:$N$201,2,FALSE))</f>
        <v/>
      </c>
      <c r="K164" s="76">
        <f>IF($A164="","",VLOOKUP($A164,Catalog!$A$2:$N$201,11,FALSE))</f>
        <v/>
      </c>
      <c r="L164" s="76">
        <f>IF($A164="","",G164*K164)</f>
        <v/>
      </c>
      <c r="M164" s="76">
        <f>IF($A164="","",G164*VLOOKUP($A164,Catalog!$A$2:$N$201,12,FALSE))</f>
        <v/>
      </c>
    </row>
    <row r="165">
      <c r="A165" s="60">
        <f>IF(Catalog!A165="","",Catalog!A165)</f>
        <v/>
      </c>
      <c r="B165" s="60">
        <f>IF($A165="","",VLOOKUP($A165,Catalog!$A$2:$N$201,3,FALSE))</f>
        <v/>
      </c>
      <c r="C165" s="60">
        <f>IF($A165="","",VLOOKUP($A165,Catalog!$A$2:$N$201,4,FALSE))</f>
        <v/>
      </c>
      <c r="D165" s="56">
        <f>IF($A165="","",SUMIFS(Transactions!$H$2:$H$1001,Transactions!$B$2:$B$1001,$A165,Transactions!$E$2:$E$1001,"Studio"))</f>
        <v/>
      </c>
      <c r="E165" s="56">
        <f>IF($A165="","",SUMIFS(Transactions!$H$2:$H$1001,Transactions!$B$2:$B$1001,$A165,Transactions!$E$2:$E$1001,"Knokke"))</f>
        <v/>
      </c>
      <c r="F165" s="56">
        <f>IF($A165="","",SUMIFS(Transactions!$H$2:$H$1001,Transactions!$B$2:$B$1001,$A165,Transactions!$E$2:$E$1001,"Warehouse"))</f>
        <v/>
      </c>
      <c r="G165" s="56">
        <f>IF($A165="","",SUM(D165:F165))</f>
        <v/>
      </c>
      <c r="H165" s="60">
        <f>IF($A165="","",VLOOKUP($A165,Catalog!$A$2:$N$201,13,FALSE))</f>
        <v/>
      </c>
      <c r="I165" s="60">
        <f>IF($A165="","",IF(G165&lt;=0,"Out of stock",IF(G165&lt;=H165,"Reorder","Healthy")))</f>
        <v/>
      </c>
      <c r="J165" s="60">
        <f>IF($A165="","",VLOOKUP($A165,Catalog!$A$2:$N$201,2,FALSE))</f>
        <v/>
      </c>
      <c r="K165" s="76">
        <f>IF($A165="","",VLOOKUP($A165,Catalog!$A$2:$N$201,11,FALSE))</f>
        <v/>
      </c>
      <c r="L165" s="76">
        <f>IF($A165="","",G165*K165)</f>
        <v/>
      </c>
      <c r="M165" s="76">
        <f>IF($A165="","",G165*VLOOKUP($A165,Catalog!$A$2:$N$201,12,FALSE))</f>
        <v/>
      </c>
    </row>
    <row r="166">
      <c r="A166" s="60">
        <f>IF(Catalog!A166="","",Catalog!A166)</f>
        <v/>
      </c>
      <c r="B166" s="60">
        <f>IF($A166="","",VLOOKUP($A166,Catalog!$A$2:$N$201,3,FALSE))</f>
        <v/>
      </c>
      <c r="C166" s="60">
        <f>IF($A166="","",VLOOKUP($A166,Catalog!$A$2:$N$201,4,FALSE))</f>
        <v/>
      </c>
      <c r="D166" s="56">
        <f>IF($A166="","",SUMIFS(Transactions!$H$2:$H$1001,Transactions!$B$2:$B$1001,$A166,Transactions!$E$2:$E$1001,"Studio"))</f>
        <v/>
      </c>
      <c r="E166" s="56">
        <f>IF($A166="","",SUMIFS(Transactions!$H$2:$H$1001,Transactions!$B$2:$B$1001,$A166,Transactions!$E$2:$E$1001,"Knokke"))</f>
        <v/>
      </c>
      <c r="F166" s="56">
        <f>IF($A166="","",SUMIFS(Transactions!$H$2:$H$1001,Transactions!$B$2:$B$1001,$A166,Transactions!$E$2:$E$1001,"Warehouse"))</f>
        <v/>
      </c>
      <c r="G166" s="56">
        <f>IF($A166="","",SUM(D166:F166))</f>
        <v/>
      </c>
      <c r="H166" s="60">
        <f>IF($A166="","",VLOOKUP($A166,Catalog!$A$2:$N$201,13,FALSE))</f>
        <v/>
      </c>
      <c r="I166" s="60">
        <f>IF($A166="","",IF(G166&lt;=0,"Out of stock",IF(G166&lt;=H166,"Reorder","Healthy")))</f>
        <v/>
      </c>
      <c r="J166" s="60">
        <f>IF($A166="","",VLOOKUP($A166,Catalog!$A$2:$N$201,2,FALSE))</f>
        <v/>
      </c>
      <c r="K166" s="76">
        <f>IF($A166="","",VLOOKUP($A166,Catalog!$A$2:$N$201,11,FALSE))</f>
        <v/>
      </c>
      <c r="L166" s="76">
        <f>IF($A166="","",G166*K166)</f>
        <v/>
      </c>
      <c r="M166" s="76">
        <f>IF($A166="","",G166*VLOOKUP($A166,Catalog!$A$2:$N$201,12,FALSE))</f>
        <v/>
      </c>
    </row>
    <row r="167">
      <c r="A167" s="60">
        <f>IF(Catalog!A167="","",Catalog!A167)</f>
        <v/>
      </c>
      <c r="B167" s="60">
        <f>IF($A167="","",VLOOKUP($A167,Catalog!$A$2:$N$201,3,FALSE))</f>
        <v/>
      </c>
      <c r="C167" s="60">
        <f>IF($A167="","",VLOOKUP($A167,Catalog!$A$2:$N$201,4,FALSE))</f>
        <v/>
      </c>
      <c r="D167" s="56">
        <f>IF($A167="","",SUMIFS(Transactions!$H$2:$H$1001,Transactions!$B$2:$B$1001,$A167,Transactions!$E$2:$E$1001,"Studio"))</f>
        <v/>
      </c>
      <c r="E167" s="56">
        <f>IF($A167="","",SUMIFS(Transactions!$H$2:$H$1001,Transactions!$B$2:$B$1001,$A167,Transactions!$E$2:$E$1001,"Knokke"))</f>
        <v/>
      </c>
      <c r="F167" s="56">
        <f>IF($A167="","",SUMIFS(Transactions!$H$2:$H$1001,Transactions!$B$2:$B$1001,$A167,Transactions!$E$2:$E$1001,"Warehouse"))</f>
        <v/>
      </c>
      <c r="G167" s="56">
        <f>IF($A167="","",SUM(D167:F167))</f>
        <v/>
      </c>
      <c r="H167" s="60">
        <f>IF($A167="","",VLOOKUP($A167,Catalog!$A$2:$N$201,13,FALSE))</f>
        <v/>
      </c>
      <c r="I167" s="60">
        <f>IF($A167="","",IF(G167&lt;=0,"Out of stock",IF(G167&lt;=H167,"Reorder","Healthy")))</f>
        <v/>
      </c>
      <c r="J167" s="60">
        <f>IF($A167="","",VLOOKUP($A167,Catalog!$A$2:$N$201,2,FALSE))</f>
        <v/>
      </c>
      <c r="K167" s="76">
        <f>IF($A167="","",VLOOKUP($A167,Catalog!$A$2:$N$201,11,FALSE))</f>
        <v/>
      </c>
      <c r="L167" s="76">
        <f>IF($A167="","",G167*K167)</f>
        <v/>
      </c>
      <c r="M167" s="76">
        <f>IF($A167="","",G167*VLOOKUP($A167,Catalog!$A$2:$N$201,12,FALSE))</f>
        <v/>
      </c>
    </row>
    <row r="168">
      <c r="A168" s="60">
        <f>IF(Catalog!A168="","",Catalog!A168)</f>
        <v/>
      </c>
      <c r="B168" s="60">
        <f>IF($A168="","",VLOOKUP($A168,Catalog!$A$2:$N$201,3,FALSE))</f>
        <v/>
      </c>
      <c r="C168" s="60">
        <f>IF($A168="","",VLOOKUP($A168,Catalog!$A$2:$N$201,4,FALSE))</f>
        <v/>
      </c>
      <c r="D168" s="56">
        <f>IF($A168="","",SUMIFS(Transactions!$H$2:$H$1001,Transactions!$B$2:$B$1001,$A168,Transactions!$E$2:$E$1001,"Studio"))</f>
        <v/>
      </c>
      <c r="E168" s="56">
        <f>IF($A168="","",SUMIFS(Transactions!$H$2:$H$1001,Transactions!$B$2:$B$1001,$A168,Transactions!$E$2:$E$1001,"Knokke"))</f>
        <v/>
      </c>
      <c r="F168" s="56">
        <f>IF($A168="","",SUMIFS(Transactions!$H$2:$H$1001,Transactions!$B$2:$B$1001,$A168,Transactions!$E$2:$E$1001,"Warehouse"))</f>
        <v/>
      </c>
      <c r="G168" s="56">
        <f>IF($A168="","",SUM(D168:F168))</f>
        <v/>
      </c>
      <c r="H168" s="60">
        <f>IF($A168="","",VLOOKUP($A168,Catalog!$A$2:$N$201,13,FALSE))</f>
        <v/>
      </c>
      <c r="I168" s="60">
        <f>IF($A168="","",IF(G168&lt;=0,"Out of stock",IF(G168&lt;=H168,"Reorder","Healthy")))</f>
        <v/>
      </c>
      <c r="J168" s="60">
        <f>IF($A168="","",VLOOKUP($A168,Catalog!$A$2:$N$201,2,FALSE))</f>
        <v/>
      </c>
      <c r="K168" s="76">
        <f>IF($A168="","",VLOOKUP($A168,Catalog!$A$2:$N$201,11,FALSE))</f>
        <v/>
      </c>
      <c r="L168" s="76">
        <f>IF($A168="","",G168*K168)</f>
        <v/>
      </c>
      <c r="M168" s="76">
        <f>IF($A168="","",G168*VLOOKUP($A168,Catalog!$A$2:$N$201,12,FALSE))</f>
        <v/>
      </c>
    </row>
    <row r="169">
      <c r="A169" s="60">
        <f>IF(Catalog!A169="","",Catalog!A169)</f>
        <v/>
      </c>
      <c r="B169" s="60">
        <f>IF($A169="","",VLOOKUP($A169,Catalog!$A$2:$N$201,3,FALSE))</f>
        <v/>
      </c>
      <c r="C169" s="60">
        <f>IF($A169="","",VLOOKUP($A169,Catalog!$A$2:$N$201,4,FALSE))</f>
        <v/>
      </c>
      <c r="D169" s="56">
        <f>IF($A169="","",SUMIFS(Transactions!$H$2:$H$1001,Transactions!$B$2:$B$1001,$A169,Transactions!$E$2:$E$1001,"Studio"))</f>
        <v/>
      </c>
      <c r="E169" s="56">
        <f>IF($A169="","",SUMIFS(Transactions!$H$2:$H$1001,Transactions!$B$2:$B$1001,$A169,Transactions!$E$2:$E$1001,"Knokke"))</f>
        <v/>
      </c>
      <c r="F169" s="56">
        <f>IF($A169="","",SUMIFS(Transactions!$H$2:$H$1001,Transactions!$B$2:$B$1001,$A169,Transactions!$E$2:$E$1001,"Warehouse"))</f>
        <v/>
      </c>
      <c r="G169" s="56">
        <f>IF($A169="","",SUM(D169:F169))</f>
        <v/>
      </c>
      <c r="H169" s="60">
        <f>IF($A169="","",VLOOKUP($A169,Catalog!$A$2:$N$201,13,FALSE))</f>
        <v/>
      </c>
      <c r="I169" s="60">
        <f>IF($A169="","",IF(G169&lt;=0,"Out of stock",IF(G169&lt;=H169,"Reorder","Healthy")))</f>
        <v/>
      </c>
      <c r="J169" s="60">
        <f>IF($A169="","",VLOOKUP($A169,Catalog!$A$2:$N$201,2,FALSE))</f>
        <v/>
      </c>
      <c r="K169" s="76">
        <f>IF($A169="","",VLOOKUP($A169,Catalog!$A$2:$N$201,11,FALSE))</f>
        <v/>
      </c>
      <c r="L169" s="76">
        <f>IF($A169="","",G169*K169)</f>
        <v/>
      </c>
      <c r="M169" s="76">
        <f>IF($A169="","",G169*VLOOKUP($A169,Catalog!$A$2:$N$201,12,FALSE))</f>
        <v/>
      </c>
    </row>
    <row r="170">
      <c r="A170" s="60">
        <f>IF(Catalog!A170="","",Catalog!A170)</f>
        <v/>
      </c>
      <c r="B170" s="60">
        <f>IF($A170="","",VLOOKUP($A170,Catalog!$A$2:$N$201,3,FALSE))</f>
        <v/>
      </c>
      <c r="C170" s="60">
        <f>IF($A170="","",VLOOKUP($A170,Catalog!$A$2:$N$201,4,FALSE))</f>
        <v/>
      </c>
      <c r="D170" s="56">
        <f>IF($A170="","",SUMIFS(Transactions!$H$2:$H$1001,Transactions!$B$2:$B$1001,$A170,Transactions!$E$2:$E$1001,"Studio"))</f>
        <v/>
      </c>
      <c r="E170" s="56">
        <f>IF($A170="","",SUMIFS(Transactions!$H$2:$H$1001,Transactions!$B$2:$B$1001,$A170,Transactions!$E$2:$E$1001,"Knokke"))</f>
        <v/>
      </c>
      <c r="F170" s="56">
        <f>IF($A170="","",SUMIFS(Transactions!$H$2:$H$1001,Transactions!$B$2:$B$1001,$A170,Transactions!$E$2:$E$1001,"Warehouse"))</f>
        <v/>
      </c>
      <c r="G170" s="56">
        <f>IF($A170="","",SUM(D170:F170))</f>
        <v/>
      </c>
      <c r="H170" s="60">
        <f>IF($A170="","",VLOOKUP($A170,Catalog!$A$2:$N$201,13,FALSE))</f>
        <v/>
      </c>
      <c r="I170" s="60">
        <f>IF($A170="","",IF(G170&lt;=0,"Out of stock",IF(G170&lt;=H170,"Reorder","Healthy")))</f>
        <v/>
      </c>
      <c r="J170" s="60">
        <f>IF($A170="","",VLOOKUP($A170,Catalog!$A$2:$N$201,2,FALSE))</f>
        <v/>
      </c>
      <c r="K170" s="76">
        <f>IF($A170="","",VLOOKUP($A170,Catalog!$A$2:$N$201,11,FALSE))</f>
        <v/>
      </c>
      <c r="L170" s="76">
        <f>IF($A170="","",G170*K170)</f>
        <v/>
      </c>
      <c r="M170" s="76">
        <f>IF($A170="","",G170*VLOOKUP($A170,Catalog!$A$2:$N$201,12,FALSE))</f>
        <v/>
      </c>
    </row>
    <row r="171">
      <c r="A171" s="60">
        <f>IF(Catalog!A171="","",Catalog!A171)</f>
        <v/>
      </c>
      <c r="B171" s="60">
        <f>IF($A171="","",VLOOKUP($A171,Catalog!$A$2:$N$201,3,FALSE))</f>
        <v/>
      </c>
      <c r="C171" s="60">
        <f>IF($A171="","",VLOOKUP($A171,Catalog!$A$2:$N$201,4,FALSE))</f>
        <v/>
      </c>
      <c r="D171" s="56">
        <f>IF($A171="","",SUMIFS(Transactions!$H$2:$H$1001,Transactions!$B$2:$B$1001,$A171,Transactions!$E$2:$E$1001,"Studio"))</f>
        <v/>
      </c>
      <c r="E171" s="56">
        <f>IF($A171="","",SUMIFS(Transactions!$H$2:$H$1001,Transactions!$B$2:$B$1001,$A171,Transactions!$E$2:$E$1001,"Knokke"))</f>
        <v/>
      </c>
      <c r="F171" s="56">
        <f>IF($A171="","",SUMIFS(Transactions!$H$2:$H$1001,Transactions!$B$2:$B$1001,$A171,Transactions!$E$2:$E$1001,"Warehouse"))</f>
        <v/>
      </c>
      <c r="G171" s="56">
        <f>IF($A171="","",SUM(D171:F171))</f>
        <v/>
      </c>
      <c r="H171" s="60">
        <f>IF($A171="","",VLOOKUP($A171,Catalog!$A$2:$N$201,13,FALSE))</f>
        <v/>
      </c>
      <c r="I171" s="60">
        <f>IF($A171="","",IF(G171&lt;=0,"Out of stock",IF(G171&lt;=H171,"Reorder","Healthy")))</f>
        <v/>
      </c>
      <c r="J171" s="60">
        <f>IF($A171="","",VLOOKUP($A171,Catalog!$A$2:$N$201,2,FALSE))</f>
        <v/>
      </c>
      <c r="K171" s="76">
        <f>IF($A171="","",VLOOKUP($A171,Catalog!$A$2:$N$201,11,FALSE))</f>
        <v/>
      </c>
      <c r="L171" s="76">
        <f>IF($A171="","",G171*K171)</f>
        <v/>
      </c>
      <c r="M171" s="76">
        <f>IF($A171="","",G171*VLOOKUP($A171,Catalog!$A$2:$N$201,12,FALSE))</f>
        <v/>
      </c>
    </row>
    <row r="172">
      <c r="A172" s="60">
        <f>IF(Catalog!A172="","",Catalog!A172)</f>
        <v/>
      </c>
      <c r="B172" s="60">
        <f>IF($A172="","",VLOOKUP($A172,Catalog!$A$2:$N$201,3,FALSE))</f>
        <v/>
      </c>
      <c r="C172" s="60">
        <f>IF($A172="","",VLOOKUP($A172,Catalog!$A$2:$N$201,4,FALSE))</f>
        <v/>
      </c>
      <c r="D172" s="56">
        <f>IF($A172="","",SUMIFS(Transactions!$H$2:$H$1001,Transactions!$B$2:$B$1001,$A172,Transactions!$E$2:$E$1001,"Studio"))</f>
        <v/>
      </c>
      <c r="E172" s="56">
        <f>IF($A172="","",SUMIFS(Transactions!$H$2:$H$1001,Transactions!$B$2:$B$1001,$A172,Transactions!$E$2:$E$1001,"Knokke"))</f>
        <v/>
      </c>
      <c r="F172" s="56">
        <f>IF($A172="","",SUMIFS(Transactions!$H$2:$H$1001,Transactions!$B$2:$B$1001,$A172,Transactions!$E$2:$E$1001,"Warehouse"))</f>
        <v/>
      </c>
      <c r="G172" s="56">
        <f>IF($A172="","",SUM(D172:F172))</f>
        <v/>
      </c>
      <c r="H172" s="60">
        <f>IF($A172="","",VLOOKUP($A172,Catalog!$A$2:$N$201,13,FALSE))</f>
        <v/>
      </c>
      <c r="I172" s="60">
        <f>IF($A172="","",IF(G172&lt;=0,"Out of stock",IF(G172&lt;=H172,"Reorder","Healthy")))</f>
        <v/>
      </c>
      <c r="J172" s="60">
        <f>IF($A172="","",VLOOKUP($A172,Catalog!$A$2:$N$201,2,FALSE))</f>
        <v/>
      </c>
      <c r="K172" s="76">
        <f>IF($A172="","",VLOOKUP($A172,Catalog!$A$2:$N$201,11,FALSE))</f>
        <v/>
      </c>
      <c r="L172" s="76">
        <f>IF($A172="","",G172*K172)</f>
        <v/>
      </c>
      <c r="M172" s="76">
        <f>IF($A172="","",G172*VLOOKUP($A172,Catalog!$A$2:$N$201,12,FALSE))</f>
        <v/>
      </c>
    </row>
    <row r="173">
      <c r="A173" s="60">
        <f>IF(Catalog!A173="","",Catalog!A173)</f>
        <v/>
      </c>
      <c r="B173" s="60">
        <f>IF($A173="","",VLOOKUP($A173,Catalog!$A$2:$N$201,3,FALSE))</f>
        <v/>
      </c>
      <c r="C173" s="60">
        <f>IF($A173="","",VLOOKUP($A173,Catalog!$A$2:$N$201,4,FALSE))</f>
        <v/>
      </c>
      <c r="D173" s="56">
        <f>IF($A173="","",SUMIFS(Transactions!$H$2:$H$1001,Transactions!$B$2:$B$1001,$A173,Transactions!$E$2:$E$1001,"Studio"))</f>
        <v/>
      </c>
      <c r="E173" s="56">
        <f>IF($A173="","",SUMIFS(Transactions!$H$2:$H$1001,Transactions!$B$2:$B$1001,$A173,Transactions!$E$2:$E$1001,"Knokke"))</f>
        <v/>
      </c>
      <c r="F173" s="56">
        <f>IF($A173="","",SUMIFS(Transactions!$H$2:$H$1001,Transactions!$B$2:$B$1001,$A173,Transactions!$E$2:$E$1001,"Warehouse"))</f>
        <v/>
      </c>
      <c r="G173" s="56">
        <f>IF($A173="","",SUM(D173:F173))</f>
        <v/>
      </c>
      <c r="H173" s="60">
        <f>IF($A173="","",VLOOKUP($A173,Catalog!$A$2:$N$201,13,FALSE))</f>
        <v/>
      </c>
      <c r="I173" s="60">
        <f>IF($A173="","",IF(G173&lt;=0,"Out of stock",IF(G173&lt;=H173,"Reorder","Healthy")))</f>
        <v/>
      </c>
      <c r="J173" s="60">
        <f>IF($A173="","",VLOOKUP($A173,Catalog!$A$2:$N$201,2,FALSE))</f>
        <v/>
      </c>
      <c r="K173" s="76">
        <f>IF($A173="","",VLOOKUP($A173,Catalog!$A$2:$N$201,11,FALSE))</f>
        <v/>
      </c>
      <c r="L173" s="76">
        <f>IF($A173="","",G173*K173)</f>
        <v/>
      </c>
      <c r="M173" s="76">
        <f>IF($A173="","",G173*VLOOKUP($A173,Catalog!$A$2:$N$201,12,FALSE))</f>
        <v/>
      </c>
    </row>
    <row r="174">
      <c r="A174" s="60">
        <f>IF(Catalog!A174="","",Catalog!A174)</f>
        <v/>
      </c>
      <c r="B174" s="60">
        <f>IF($A174="","",VLOOKUP($A174,Catalog!$A$2:$N$201,3,FALSE))</f>
        <v/>
      </c>
      <c r="C174" s="60">
        <f>IF($A174="","",VLOOKUP($A174,Catalog!$A$2:$N$201,4,FALSE))</f>
        <v/>
      </c>
      <c r="D174" s="56">
        <f>IF($A174="","",SUMIFS(Transactions!$H$2:$H$1001,Transactions!$B$2:$B$1001,$A174,Transactions!$E$2:$E$1001,"Studio"))</f>
        <v/>
      </c>
      <c r="E174" s="56">
        <f>IF($A174="","",SUMIFS(Transactions!$H$2:$H$1001,Transactions!$B$2:$B$1001,$A174,Transactions!$E$2:$E$1001,"Knokke"))</f>
        <v/>
      </c>
      <c r="F174" s="56">
        <f>IF($A174="","",SUMIFS(Transactions!$H$2:$H$1001,Transactions!$B$2:$B$1001,$A174,Transactions!$E$2:$E$1001,"Warehouse"))</f>
        <v/>
      </c>
      <c r="G174" s="56">
        <f>IF($A174="","",SUM(D174:F174))</f>
        <v/>
      </c>
      <c r="H174" s="60">
        <f>IF($A174="","",VLOOKUP($A174,Catalog!$A$2:$N$201,13,FALSE))</f>
        <v/>
      </c>
      <c r="I174" s="60">
        <f>IF($A174="","",IF(G174&lt;=0,"Out of stock",IF(G174&lt;=H174,"Reorder","Healthy")))</f>
        <v/>
      </c>
      <c r="J174" s="60">
        <f>IF($A174="","",VLOOKUP($A174,Catalog!$A$2:$N$201,2,FALSE))</f>
        <v/>
      </c>
      <c r="K174" s="76">
        <f>IF($A174="","",VLOOKUP($A174,Catalog!$A$2:$N$201,11,FALSE))</f>
        <v/>
      </c>
      <c r="L174" s="76">
        <f>IF($A174="","",G174*K174)</f>
        <v/>
      </c>
      <c r="M174" s="76">
        <f>IF($A174="","",G174*VLOOKUP($A174,Catalog!$A$2:$N$201,12,FALSE))</f>
        <v/>
      </c>
    </row>
    <row r="175">
      <c r="A175" s="60">
        <f>IF(Catalog!A175="","",Catalog!A175)</f>
        <v/>
      </c>
      <c r="B175" s="60">
        <f>IF($A175="","",VLOOKUP($A175,Catalog!$A$2:$N$201,3,FALSE))</f>
        <v/>
      </c>
      <c r="C175" s="60">
        <f>IF($A175="","",VLOOKUP($A175,Catalog!$A$2:$N$201,4,FALSE))</f>
        <v/>
      </c>
      <c r="D175" s="56">
        <f>IF($A175="","",SUMIFS(Transactions!$H$2:$H$1001,Transactions!$B$2:$B$1001,$A175,Transactions!$E$2:$E$1001,"Studio"))</f>
        <v/>
      </c>
      <c r="E175" s="56">
        <f>IF($A175="","",SUMIFS(Transactions!$H$2:$H$1001,Transactions!$B$2:$B$1001,$A175,Transactions!$E$2:$E$1001,"Knokke"))</f>
        <v/>
      </c>
      <c r="F175" s="56">
        <f>IF($A175="","",SUMIFS(Transactions!$H$2:$H$1001,Transactions!$B$2:$B$1001,$A175,Transactions!$E$2:$E$1001,"Warehouse"))</f>
        <v/>
      </c>
      <c r="G175" s="56">
        <f>IF($A175="","",SUM(D175:F175))</f>
        <v/>
      </c>
      <c r="H175" s="60">
        <f>IF($A175="","",VLOOKUP($A175,Catalog!$A$2:$N$201,13,FALSE))</f>
        <v/>
      </c>
      <c r="I175" s="60">
        <f>IF($A175="","",IF(G175&lt;=0,"Out of stock",IF(G175&lt;=H175,"Reorder","Healthy")))</f>
        <v/>
      </c>
      <c r="J175" s="60">
        <f>IF($A175="","",VLOOKUP($A175,Catalog!$A$2:$N$201,2,FALSE))</f>
        <v/>
      </c>
      <c r="K175" s="76">
        <f>IF($A175="","",VLOOKUP($A175,Catalog!$A$2:$N$201,11,FALSE))</f>
        <v/>
      </c>
      <c r="L175" s="76">
        <f>IF($A175="","",G175*K175)</f>
        <v/>
      </c>
      <c r="M175" s="76">
        <f>IF($A175="","",G175*VLOOKUP($A175,Catalog!$A$2:$N$201,12,FALSE))</f>
        <v/>
      </c>
    </row>
    <row r="176">
      <c r="A176" s="60">
        <f>IF(Catalog!A176="","",Catalog!A176)</f>
        <v/>
      </c>
      <c r="B176" s="60">
        <f>IF($A176="","",VLOOKUP($A176,Catalog!$A$2:$N$201,3,FALSE))</f>
        <v/>
      </c>
      <c r="C176" s="60">
        <f>IF($A176="","",VLOOKUP($A176,Catalog!$A$2:$N$201,4,FALSE))</f>
        <v/>
      </c>
      <c r="D176" s="56">
        <f>IF($A176="","",SUMIFS(Transactions!$H$2:$H$1001,Transactions!$B$2:$B$1001,$A176,Transactions!$E$2:$E$1001,"Studio"))</f>
        <v/>
      </c>
      <c r="E176" s="56">
        <f>IF($A176="","",SUMIFS(Transactions!$H$2:$H$1001,Transactions!$B$2:$B$1001,$A176,Transactions!$E$2:$E$1001,"Knokke"))</f>
        <v/>
      </c>
      <c r="F176" s="56">
        <f>IF($A176="","",SUMIFS(Transactions!$H$2:$H$1001,Transactions!$B$2:$B$1001,$A176,Transactions!$E$2:$E$1001,"Warehouse"))</f>
        <v/>
      </c>
      <c r="G176" s="56">
        <f>IF($A176="","",SUM(D176:F176))</f>
        <v/>
      </c>
      <c r="H176" s="60">
        <f>IF($A176="","",VLOOKUP($A176,Catalog!$A$2:$N$201,13,FALSE))</f>
        <v/>
      </c>
      <c r="I176" s="60">
        <f>IF($A176="","",IF(G176&lt;=0,"Out of stock",IF(G176&lt;=H176,"Reorder","Healthy")))</f>
        <v/>
      </c>
      <c r="J176" s="60">
        <f>IF($A176="","",VLOOKUP($A176,Catalog!$A$2:$N$201,2,FALSE))</f>
        <v/>
      </c>
      <c r="K176" s="76">
        <f>IF($A176="","",VLOOKUP($A176,Catalog!$A$2:$N$201,11,FALSE))</f>
        <v/>
      </c>
      <c r="L176" s="76">
        <f>IF($A176="","",G176*K176)</f>
        <v/>
      </c>
      <c r="M176" s="76">
        <f>IF($A176="","",G176*VLOOKUP($A176,Catalog!$A$2:$N$201,12,FALSE))</f>
        <v/>
      </c>
    </row>
    <row r="177">
      <c r="A177" s="60">
        <f>IF(Catalog!A177="","",Catalog!A177)</f>
        <v/>
      </c>
      <c r="B177" s="60">
        <f>IF($A177="","",VLOOKUP($A177,Catalog!$A$2:$N$201,3,FALSE))</f>
        <v/>
      </c>
      <c r="C177" s="60">
        <f>IF($A177="","",VLOOKUP($A177,Catalog!$A$2:$N$201,4,FALSE))</f>
        <v/>
      </c>
      <c r="D177" s="56">
        <f>IF($A177="","",SUMIFS(Transactions!$H$2:$H$1001,Transactions!$B$2:$B$1001,$A177,Transactions!$E$2:$E$1001,"Studio"))</f>
        <v/>
      </c>
      <c r="E177" s="56">
        <f>IF($A177="","",SUMIFS(Transactions!$H$2:$H$1001,Transactions!$B$2:$B$1001,$A177,Transactions!$E$2:$E$1001,"Knokke"))</f>
        <v/>
      </c>
      <c r="F177" s="56">
        <f>IF($A177="","",SUMIFS(Transactions!$H$2:$H$1001,Transactions!$B$2:$B$1001,$A177,Transactions!$E$2:$E$1001,"Warehouse"))</f>
        <v/>
      </c>
      <c r="G177" s="56">
        <f>IF($A177="","",SUM(D177:F177))</f>
        <v/>
      </c>
      <c r="H177" s="60">
        <f>IF($A177="","",VLOOKUP($A177,Catalog!$A$2:$N$201,13,FALSE))</f>
        <v/>
      </c>
      <c r="I177" s="60">
        <f>IF($A177="","",IF(G177&lt;=0,"Out of stock",IF(G177&lt;=H177,"Reorder","Healthy")))</f>
        <v/>
      </c>
      <c r="J177" s="60">
        <f>IF($A177="","",VLOOKUP($A177,Catalog!$A$2:$N$201,2,FALSE))</f>
        <v/>
      </c>
      <c r="K177" s="76">
        <f>IF($A177="","",VLOOKUP($A177,Catalog!$A$2:$N$201,11,FALSE))</f>
        <v/>
      </c>
      <c r="L177" s="76">
        <f>IF($A177="","",G177*K177)</f>
        <v/>
      </c>
      <c r="M177" s="76">
        <f>IF($A177="","",G177*VLOOKUP($A177,Catalog!$A$2:$N$201,12,FALSE))</f>
        <v/>
      </c>
    </row>
    <row r="178">
      <c r="A178" s="60">
        <f>IF(Catalog!A178="","",Catalog!A178)</f>
        <v/>
      </c>
      <c r="B178" s="60">
        <f>IF($A178="","",VLOOKUP($A178,Catalog!$A$2:$N$201,3,FALSE))</f>
        <v/>
      </c>
      <c r="C178" s="60">
        <f>IF($A178="","",VLOOKUP($A178,Catalog!$A$2:$N$201,4,FALSE))</f>
        <v/>
      </c>
      <c r="D178" s="56">
        <f>IF($A178="","",SUMIFS(Transactions!$H$2:$H$1001,Transactions!$B$2:$B$1001,$A178,Transactions!$E$2:$E$1001,"Studio"))</f>
        <v/>
      </c>
      <c r="E178" s="56">
        <f>IF($A178="","",SUMIFS(Transactions!$H$2:$H$1001,Transactions!$B$2:$B$1001,$A178,Transactions!$E$2:$E$1001,"Knokke"))</f>
        <v/>
      </c>
      <c r="F178" s="56">
        <f>IF($A178="","",SUMIFS(Transactions!$H$2:$H$1001,Transactions!$B$2:$B$1001,$A178,Transactions!$E$2:$E$1001,"Warehouse"))</f>
        <v/>
      </c>
      <c r="G178" s="56">
        <f>IF($A178="","",SUM(D178:F178))</f>
        <v/>
      </c>
      <c r="H178" s="60">
        <f>IF($A178="","",VLOOKUP($A178,Catalog!$A$2:$N$201,13,FALSE))</f>
        <v/>
      </c>
      <c r="I178" s="60">
        <f>IF($A178="","",IF(G178&lt;=0,"Out of stock",IF(G178&lt;=H178,"Reorder","Healthy")))</f>
        <v/>
      </c>
      <c r="J178" s="60">
        <f>IF($A178="","",VLOOKUP($A178,Catalog!$A$2:$N$201,2,FALSE))</f>
        <v/>
      </c>
      <c r="K178" s="76">
        <f>IF($A178="","",VLOOKUP($A178,Catalog!$A$2:$N$201,11,FALSE))</f>
        <v/>
      </c>
      <c r="L178" s="76">
        <f>IF($A178="","",G178*K178)</f>
        <v/>
      </c>
      <c r="M178" s="76">
        <f>IF($A178="","",G178*VLOOKUP($A178,Catalog!$A$2:$N$201,12,FALSE))</f>
        <v/>
      </c>
    </row>
    <row r="179">
      <c r="A179" s="60">
        <f>IF(Catalog!A179="","",Catalog!A179)</f>
        <v/>
      </c>
      <c r="B179" s="60">
        <f>IF($A179="","",VLOOKUP($A179,Catalog!$A$2:$N$201,3,FALSE))</f>
        <v/>
      </c>
      <c r="C179" s="60">
        <f>IF($A179="","",VLOOKUP($A179,Catalog!$A$2:$N$201,4,FALSE))</f>
        <v/>
      </c>
      <c r="D179" s="56">
        <f>IF($A179="","",SUMIFS(Transactions!$H$2:$H$1001,Transactions!$B$2:$B$1001,$A179,Transactions!$E$2:$E$1001,"Studio"))</f>
        <v/>
      </c>
      <c r="E179" s="56">
        <f>IF($A179="","",SUMIFS(Transactions!$H$2:$H$1001,Transactions!$B$2:$B$1001,$A179,Transactions!$E$2:$E$1001,"Knokke"))</f>
        <v/>
      </c>
      <c r="F179" s="56">
        <f>IF($A179="","",SUMIFS(Transactions!$H$2:$H$1001,Transactions!$B$2:$B$1001,$A179,Transactions!$E$2:$E$1001,"Warehouse"))</f>
        <v/>
      </c>
      <c r="G179" s="56">
        <f>IF($A179="","",SUM(D179:F179))</f>
        <v/>
      </c>
      <c r="H179" s="60">
        <f>IF($A179="","",VLOOKUP($A179,Catalog!$A$2:$N$201,13,FALSE))</f>
        <v/>
      </c>
      <c r="I179" s="60">
        <f>IF($A179="","",IF(G179&lt;=0,"Out of stock",IF(G179&lt;=H179,"Reorder","Healthy")))</f>
        <v/>
      </c>
      <c r="J179" s="60">
        <f>IF($A179="","",VLOOKUP($A179,Catalog!$A$2:$N$201,2,FALSE))</f>
        <v/>
      </c>
      <c r="K179" s="76">
        <f>IF($A179="","",VLOOKUP($A179,Catalog!$A$2:$N$201,11,FALSE))</f>
        <v/>
      </c>
      <c r="L179" s="76">
        <f>IF($A179="","",G179*K179)</f>
        <v/>
      </c>
      <c r="M179" s="76">
        <f>IF($A179="","",G179*VLOOKUP($A179,Catalog!$A$2:$N$201,12,FALSE))</f>
        <v/>
      </c>
    </row>
    <row r="180">
      <c r="A180" s="60">
        <f>IF(Catalog!A180="","",Catalog!A180)</f>
        <v/>
      </c>
      <c r="B180" s="60">
        <f>IF($A180="","",VLOOKUP($A180,Catalog!$A$2:$N$201,3,FALSE))</f>
        <v/>
      </c>
      <c r="C180" s="60">
        <f>IF($A180="","",VLOOKUP($A180,Catalog!$A$2:$N$201,4,FALSE))</f>
        <v/>
      </c>
      <c r="D180" s="56">
        <f>IF($A180="","",SUMIFS(Transactions!$H$2:$H$1001,Transactions!$B$2:$B$1001,$A180,Transactions!$E$2:$E$1001,"Studio"))</f>
        <v/>
      </c>
      <c r="E180" s="56">
        <f>IF($A180="","",SUMIFS(Transactions!$H$2:$H$1001,Transactions!$B$2:$B$1001,$A180,Transactions!$E$2:$E$1001,"Knokke"))</f>
        <v/>
      </c>
      <c r="F180" s="56">
        <f>IF($A180="","",SUMIFS(Transactions!$H$2:$H$1001,Transactions!$B$2:$B$1001,$A180,Transactions!$E$2:$E$1001,"Warehouse"))</f>
        <v/>
      </c>
      <c r="G180" s="56">
        <f>IF($A180="","",SUM(D180:F180))</f>
        <v/>
      </c>
      <c r="H180" s="60">
        <f>IF($A180="","",VLOOKUP($A180,Catalog!$A$2:$N$201,13,FALSE))</f>
        <v/>
      </c>
      <c r="I180" s="60">
        <f>IF($A180="","",IF(G180&lt;=0,"Out of stock",IF(G180&lt;=H180,"Reorder","Healthy")))</f>
        <v/>
      </c>
      <c r="J180" s="60">
        <f>IF($A180="","",VLOOKUP($A180,Catalog!$A$2:$N$201,2,FALSE))</f>
        <v/>
      </c>
      <c r="K180" s="76">
        <f>IF($A180="","",VLOOKUP($A180,Catalog!$A$2:$N$201,11,FALSE))</f>
        <v/>
      </c>
      <c r="L180" s="76">
        <f>IF($A180="","",G180*K180)</f>
        <v/>
      </c>
      <c r="M180" s="76">
        <f>IF($A180="","",G180*VLOOKUP($A180,Catalog!$A$2:$N$201,12,FALSE))</f>
        <v/>
      </c>
    </row>
    <row r="181">
      <c r="A181" s="60">
        <f>IF(Catalog!A181="","",Catalog!A181)</f>
        <v/>
      </c>
      <c r="B181" s="60">
        <f>IF($A181="","",VLOOKUP($A181,Catalog!$A$2:$N$201,3,FALSE))</f>
        <v/>
      </c>
      <c r="C181" s="60">
        <f>IF($A181="","",VLOOKUP($A181,Catalog!$A$2:$N$201,4,FALSE))</f>
        <v/>
      </c>
      <c r="D181" s="56">
        <f>IF($A181="","",SUMIFS(Transactions!$H$2:$H$1001,Transactions!$B$2:$B$1001,$A181,Transactions!$E$2:$E$1001,"Studio"))</f>
        <v/>
      </c>
      <c r="E181" s="56">
        <f>IF($A181="","",SUMIFS(Transactions!$H$2:$H$1001,Transactions!$B$2:$B$1001,$A181,Transactions!$E$2:$E$1001,"Knokke"))</f>
        <v/>
      </c>
      <c r="F181" s="56">
        <f>IF($A181="","",SUMIFS(Transactions!$H$2:$H$1001,Transactions!$B$2:$B$1001,$A181,Transactions!$E$2:$E$1001,"Warehouse"))</f>
        <v/>
      </c>
      <c r="G181" s="56">
        <f>IF($A181="","",SUM(D181:F181))</f>
        <v/>
      </c>
      <c r="H181" s="60">
        <f>IF($A181="","",VLOOKUP($A181,Catalog!$A$2:$N$201,13,FALSE))</f>
        <v/>
      </c>
      <c r="I181" s="60">
        <f>IF($A181="","",IF(G181&lt;=0,"Out of stock",IF(G181&lt;=H181,"Reorder","Healthy")))</f>
        <v/>
      </c>
      <c r="J181" s="60">
        <f>IF($A181="","",VLOOKUP($A181,Catalog!$A$2:$N$201,2,FALSE))</f>
        <v/>
      </c>
      <c r="K181" s="76">
        <f>IF($A181="","",VLOOKUP($A181,Catalog!$A$2:$N$201,11,FALSE))</f>
        <v/>
      </c>
      <c r="L181" s="76">
        <f>IF($A181="","",G181*K181)</f>
        <v/>
      </c>
      <c r="M181" s="76">
        <f>IF($A181="","",G181*VLOOKUP($A181,Catalog!$A$2:$N$201,12,FALSE))</f>
        <v/>
      </c>
    </row>
    <row r="182">
      <c r="A182" s="60">
        <f>IF(Catalog!A182="","",Catalog!A182)</f>
        <v/>
      </c>
      <c r="B182" s="60">
        <f>IF($A182="","",VLOOKUP($A182,Catalog!$A$2:$N$201,3,FALSE))</f>
        <v/>
      </c>
      <c r="C182" s="60">
        <f>IF($A182="","",VLOOKUP($A182,Catalog!$A$2:$N$201,4,FALSE))</f>
        <v/>
      </c>
      <c r="D182" s="56">
        <f>IF($A182="","",SUMIFS(Transactions!$H$2:$H$1001,Transactions!$B$2:$B$1001,$A182,Transactions!$E$2:$E$1001,"Studio"))</f>
        <v/>
      </c>
      <c r="E182" s="56">
        <f>IF($A182="","",SUMIFS(Transactions!$H$2:$H$1001,Transactions!$B$2:$B$1001,$A182,Transactions!$E$2:$E$1001,"Knokke"))</f>
        <v/>
      </c>
      <c r="F182" s="56">
        <f>IF($A182="","",SUMIFS(Transactions!$H$2:$H$1001,Transactions!$B$2:$B$1001,$A182,Transactions!$E$2:$E$1001,"Warehouse"))</f>
        <v/>
      </c>
      <c r="G182" s="56">
        <f>IF($A182="","",SUM(D182:F182))</f>
        <v/>
      </c>
      <c r="H182" s="60">
        <f>IF($A182="","",VLOOKUP($A182,Catalog!$A$2:$N$201,13,FALSE))</f>
        <v/>
      </c>
      <c r="I182" s="60">
        <f>IF($A182="","",IF(G182&lt;=0,"Out of stock",IF(G182&lt;=H182,"Reorder","Healthy")))</f>
        <v/>
      </c>
      <c r="J182" s="60">
        <f>IF($A182="","",VLOOKUP($A182,Catalog!$A$2:$N$201,2,FALSE))</f>
        <v/>
      </c>
      <c r="K182" s="76">
        <f>IF($A182="","",VLOOKUP($A182,Catalog!$A$2:$N$201,11,FALSE))</f>
        <v/>
      </c>
      <c r="L182" s="76">
        <f>IF($A182="","",G182*K182)</f>
        <v/>
      </c>
      <c r="M182" s="76">
        <f>IF($A182="","",G182*VLOOKUP($A182,Catalog!$A$2:$N$201,12,FALSE))</f>
        <v/>
      </c>
    </row>
    <row r="183">
      <c r="A183" s="60">
        <f>IF(Catalog!A183="","",Catalog!A183)</f>
        <v/>
      </c>
      <c r="B183" s="60">
        <f>IF($A183="","",VLOOKUP($A183,Catalog!$A$2:$N$201,3,FALSE))</f>
        <v/>
      </c>
      <c r="C183" s="60">
        <f>IF($A183="","",VLOOKUP($A183,Catalog!$A$2:$N$201,4,FALSE))</f>
        <v/>
      </c>
      <c r="D183" s="56">
        <f>IF($A183="","",SUMIFS(Transactions!$H$2:$H$1001,Transactions!$B$2:$B$1001,$A183,Transactions!$E$2:$E$1001,"Studio"))</f>
        <v/>
      </c>
      <c r="E183" s="56">
        <f>IF($A183="","",SUMIFS(Transactions!$H$2:$H$1001,Transactions!$B$2:$B$1001,$A183,Transactions!$E$2:$E$1001,"Knokke"))</f>
        <v/>
      </c>
      <c r="F183" s="56">
        <f>IF($A183="","",SUMIFS(Transactions!$H$2:$H$1001,Transactions!$B$2:$B$1001,$A183,Transactions!$E$2:$E$1001,"Warehouse"))</f>
        <v/>
      </c>
      <c r="G183" s="56">
        <f>IF($A183="","",SUM(D183:F183))</f>
        <v/>
      </c>
      <c r="H183" s="60">
        <f>IF($A183="","",VLOOKUP($A183,Catalog!$A$2:$N$201,13,FALSE))</f>
        <v/>
      </c>
      <c r="I183" s="60">
        <f>IF($A183="","",IF(G183&lt;=0,"Out of stock",IF(G183&lt;=H183,"Reorder","Healthy")))</f>
        <v/>
      </c>
      <c r="J183" s="60">
        <f>IF($A183="","",VLOOKUP($A183,Catalog!$A$2:$N$201,2,FALSE))</f>
        <v/>
      </c>
      <c r="K183" s="76">
        <f>IF($A183="","",VLOOKUP($A183,Catalog!$A$2:$N$201,11,FALSE))</f>
        <v/>
      </c>
      <c r="L183" s="76">
        <f>IF($A183="","",G183*K183)</f>
        <v/>
      </c>
      <c r="M183" s="76">
        <f>IF($A183="","",G183*VLOOKUP($A183,Catalog!$A$2:$N$201,12,FALSE))</f>
        <v/>
      </c>
    </row>
    <row r="184">
      <c r="A184" s="60">
        <f>IF(Catalog!A184="","",Catalog!A184)</f>
        <v/>
      </c>
      <c r="B184" s="60">
        <f>IF($A184="","",VLOOKUP($A184,Catalog!$A$2:$N$201,3,FALSE))</f>
        <v/>
      </c>
      <c r="C184" s="60">
        <f>IF($A184="","",VLOOKUP($A184,Catalog!$A$2:$N$201,4,FALSE))</f>
        <v/>
      </c>
      <c r="D184" s="56">
        <f>IF($A184="","",SUMIFS(Transactions!$H$2:$H$1001,Transactions!$B$2:$B$1001,$A184,Transactions!$E$2:$E$1001,"Studio"))</f>
        <v/>
      </c>
      <c r="E184" s="56">
        <f>IF($A184="","",SUMIFS(Transactions!$H$2:$H$1001,Transactions!$B$2:$B$1001,$A184,Transactions!$E$2:$E$1001,"Knokke"))</f>
        <v/>
      </c>
      <c r="F184" s="56">
        <f>IF($A184="","",SUMIFS(Transactions!$H$2:$H$1001,Transactions!$B$2:$B$1001,$A184,Transactions!$E$2:$E$1001,"Warehouse"))</f>
        <v/>
      </c>
      <c r="G184" s="56">
        <f>IF($A184="","",SUM(D184:F184))</f>
        <v/>
      </c>
      <c r="H184" s="60">
        <f>IF($A184="","",VLOOKUP($A184,Catalog!$A$2:$N$201,13,FALSE))</f>
        <v/>
      </c>
      <c r="I184" s="60">
        <f>IF($A184="","",IF(G184&lt;=0,"Out of stock",IF(G184&lt;=H184,"Reorder","Healthy")))</f>
        <v/>
      </c>
      <c r="J184" s="60">
        <f>IF($A184="","",VLOOKUP($A184,Catalog!$A$2:$N$201,2,FALSE))</f>
        <v/>
      </c>
      <c r="K184" s="76">
        <f>IF($A184="","",VLOOKUP($A184,Catalog!$A$2:$N$201,11,FALSE))</f>
        <v/>
      </c>
      <c r="L184" s="76">
        <f>IF($A184="","",G184*K184)</f>
        <v/>
      </c>
      <c r="M184" s="76">
        <f>IF($A184="","",G184*VLOOKUP($A184,Catalog!$A$2:$N$201,12,FALSE))</f>
        <v/>
      </c>
    </row>
    <row r="185">
      <c r="A185" s="60">
        <f>IF(Catalog!A185="","",Catalog!A185)</f>
        <v/>
      </c>
      <c r="B185" s="60">
        <f>IF($A185="","",VLOOKUP($A185,Catalog!$A$2:$N$201,3,FALSE))</f>
        <v/>
      </c>
      <c r="C185" s="60">
        <f>IF($A185="","",VLOOKUP($A185,Catalog!$A$2:$N$201,4,FALSE))</f>
        <v/>
      </c>
      <c r="D185" s="56">
        <f>IF($A185="","",SUMIFS(Transactions!$H$2:$H$1001,Transactions!$B$2:$B$1001,$A185,Transactions!$E$2:$E$1001,"Studio"))</f>
        <v/>
      </c>
      <c r="E185" s="56">
        <f>IF($A185="","",SUMIFS(Transactions!$H$2:$H$1001,Transactions!$B$2:$B$1001,$A185,Transactions!$E$2:$E$1001,"Knokke"))</f>
        <v/>
      </c>
      <c r="F185" s="56">
        <f>IF($A185="","",SUMIFS(Transactions!$H$2:$H$1001,Transactions!$B$2:$B$1001,$A185,Transactions!$E$2:$E$1001,"Warehouse"))</f>
        <v/>
      </c>
      <c r="G185" s="56">
        <f>IF($A185="","",SUM(D185:F185))</f>
        <v/>
      </c>
      <c r="H185" s="60">
        <f>IF($A185="","",VLOOKUP($A185,Catalog!$A$2:$N$201,13,FALSE))</f>
        <v/>
      </c>
      <c r="I185" s="60">
        <f>IF($A185="","",IF(G185&lt;=0,"Out of stock",IF(G185&lt;=H185,"Reorder","Healthy")))</f>
        <v/>
      </c>
      <c r="J185" s="60">
        <f>IF($A185="","",VLOOKUP($A185,Catalog!$A$2:$N$201,2,FALSE))</f>
        <v/>
      </c>
      <c r="K185" s="76">
        <f>IF($A185="","",VLOOKUP($A185,Catalog!$A$2:$N$201,11,FALSE))</f>
        <v/>
      </c>
      <c r="L185" s="76">
        <f>IF($A185="","",G185*K185)</f>
        <v/>
      </c>
      <c r="M185" s="76">
        <f>IF($A185="","",G185*VLOOKUP($A185,Catalog!$A$2:$N$201,12,FALSE))</f>
        <v/>
      </c>
    </row>
    <row r="186">
      <c r="A186" s="60">
        <f>IF(Catalog!A186="","",Catalog!A186)</f>
        <v/>
      </c>
      <c r="B186" s="60">
        <f>IF($A186="","",VLOOKUP($A186,Catalog!$A$2:$N$201,3,FALSE))</f>
        <v/>
      </c>
      <c r="C186" s="60">
        <f>IF($A186="","",VLOOKUP($A186,Catalog!$A$2:$N$201,4,FALSE))</f>
        <v/>
      </c>
      <c r="D186" s="56">
        <f>IF($A186="","",SUMIFS(Transactions!$H$2:$H$1001,Transactions!$B$2:$B$1001,$A186,Transactions!$E$2:$E$1001,"Studio"))</f>
        <v/>
      </c>
      <c r="E186" s="56">
        <f>IF($A186="","",SUMIFS(Transactions!$H$2:$H$1001,Transactions!$B$2:$B$1001,$A186,Transactions!$E$2:$E$1001,"Knokke"))</f>
        <v/>
      </c>
      <c r="F186" s="56">
        <f>IF($A186="","",SUMIFS(Transactions!$H$2:$H$1001,Transactions!$B$2:$B$1001,$A186,Transactions!$E$2:$E$1001,"Warehouse"))</f>
        <v/>
      </c>
      <c r="G186" s="56">
        <f>IF($A186="","",SUM(D186:F186))</f>
        <v/>
      </c>
      <c r="H186" s="60">
        <f>IF($A186="","",VLOOKUP($A186,Catalog!$A$2:$N$201,13,FALSE))</f>
        <v/>
      </c>
      <c r="I186" s="60">
        <f>IF($A186="","",IF(G186&lt;=0,"Out of stock",IF(G186&lt;=H186,"Reorder","Healthy")))</f>
        <v/>
      </c>
      <c r="J186" s="60">
        <f>IF($A186="","",VLOOKUP($A186,Catalog!$A$2:$N$201,2,FALSE))</f>
        <v/>
      </c>
      <c r="K186" s="76">
        <f>IF($A186="","",VLOOKUP($A186,Catalog!$A$2:$N$201,11,FALSE))</f>
        <v/>
      </c>
      <c r="L186" s="76">
        <f>IF($A186="","",G186*K186)</f>
        <v/>
      </c>
      <c r="M186" s="76">
        <f>IF($A186="","",G186*VLOOKUP($A186,Catalog!$A$2:$N$201,12,FALSE))</f>
        <v/>
      </c>
    </row>
    <row r="187">
      <c r="A187" s="60">
        <f>IF(Catalog!A187="","",Catalog!A187)</f>
        <v/>
      </c>
      <c r="B187" s="60">
        <f>IF($A187="","",VLOOKUP($A187,Catalog!$A$2:$N$201,3,FALSE))</f>
        <v/>
      </c>
      <c r="C187" s="60">
        <f>IF($A187="","",VLOOKUP($A187,Catalog!$A$2:$N$201,4,FALSE))</f>
        <v/>
      </c>
      <c r="D187" s="56">
        <f>IF($A187="","",SUMIFS(Transactions!$H$2:$H$1001,Transactions!$B$2:$B$1001,$A187,Transactions!$E$2:$E$1001,"Studio"))</f>
        <v/>
      </c>
      <c r="E187" s="56">
        <f>IF($A187="","",SUMIFS(Transactions!$H$2:$H$1001,Transactions!$B$2:$B$1001,$A187,Transactions!$E$2:$E$1001,"Knokke"))</f>
        <v/>
      </c>
      <c r="F187" s="56">
        <f>IF($A187="","",SUMIFS(Transactions!$H$2:$H$1001,Transactions!$B$2:$B$1001,$A187,Transactions!$E$2:$E$1001,"Warehouse"))</f>
        <v/>
      </c>
      <c r="G187" s="56">
        <f>IF($A187="","",SUM(D187:F187))</f>
        <v/>
      </c>
      <c r="H187" s="60">
        <f>IF($A187="","",VLOOKUP($A187,Catalog!$A$2:$N$201,13,FALSE))</f>
        <v/>
      </c>
      <c r="I187" s="60">
        <f>IF($A187="","",IF(G187&lt;=0,"Out of stock",IF(G187&lt;=H187,"Reorder","Healthy")))</f>
        <v/>
      </c>
      <c r="J187" s="60">
        <f>IF($A187="","",VLOOKUP($A187,Catalog!$A$2:$N$201,2,FALSE))</f>
        <v/>
      </c>
      <c r="K187" s="76">
        <f>IF($A187="","",VLOOKUP($A187,Catalog!$A$2:$N$201,11,FALSE))</f>
        <v/>
      </c>
      <c r="L187" s="76">
        <f>IF($A187="","",G187*K187)</f>
        <v/>
      </c>
      <c r="M187" s="76">
        <f>IF($A187="","",G187*VLOOKUP($A187,Catalog!$A$2:$N$201,12,FALSE))</f>
        <v/>
      </c>
    </row>
    <row r="188">
      <c r="A188" s="60">
        <f>IF(Catalog!A188="","",Catalog!A188)</f>
        <v/>
      </c>
      <c r="B188" s="60">
        <f>IF($A188="","",VLOOKUP($A188,Catalog!$A$2:$N$201,3,FALSE))</f>
        <v/>
      </c>
      <c r="C188" s="60">
        <f>IF($A188="","",VLOOKUP($A188,Catalog!$A$2:$N$201,4,FALSE))</f>
        <v/>
      </c>
      <c r="D188" s="56">
        <f>IF($A188="","",SUMIFS(Transactions!$H$2:$H$1001,Transactions!$B$2:$B$1001,$A188,Transactions!$E$2:$E$1001,"Studio"))</f>
        <v/>
      </c>
      <c r="E188" s="56">
        <f>IF($A188="","",SUMIFS(Transactions!$H$2:$H$1001,Transactions!$B$2:$B$1001,$A188,Transactions!$E$2:$E$1001,"Knokke"))</f>
        <v/>
      </c>
      <c r="F188" s="56">
        <f>IF($A188="","",SUMIFS(Transactions!$H$2:$H$1001,Transactions!$B$2:$B$1001,$A188,Transactions!$E$2:$E$1001,"Warehouse"))</f>
        <v/>
      </c>
      <c r="G188" s="56">
        <f>IF($A188="","",SUM(D188:F188))</f>
        <v/>
      </c>
      <c r="H188" s="60">
        <f>IF($A188="","",VLOOKUP($A188,Catalog!$A$2:$N$201,13,FALSE))</f>
        <v/>
      </c>
      <c r="I188" s="60">
        <f>IF($A188="","",IF(G188&lt;=0,"Out of stock",IF(G188&lt;=H188,"Reorder","Healthy")))</f>
        <v/>
      </c>
      <c r="J188" s="60">
        <f>IF($A188="","",VLOOKUP($A188,Catalog!$A$2:$N$201,2,FALSE))</f>
        <v/>
      </c>
      <c r="K188" s="76">
        <f>IF($A188="","",VLOOKUP($A188,Catalog!$A$2:$N$201,11,FALSE))</f>
        <v/>
      </c>
      <c r="L188" s="76">
        <f>IF($A188="","",G188*K188)</f>
        <v/>
      </c>
      <c r="M188" s="76">
        <f>IF($A188="","",G188*VLOOKUP($A188,Catalog!$A$2:$N$201,12,FALSE))</f>
        <v/>
      </c>
    </row>
    <row r="189">
      <c r="A189" s="60">
        <f>IF(Catalog!A189="","",Catalog!A189)</f>
        <v/>
      </c>
      <c r="B189" s="60">
        <f>IF($A189="","",VLOOKUP($A189,Catalog!$A$2:$N$201,3,FALSE))</f>
        <v/>
      </c>
      <c r="C189" s="60">
        <f>IF($A189="","",VLOOKUP($A189,Catalog!$A$2:$N$201,4,FALSE))</f>
        <v/>
      </c>
      <c r="D189" s="56">
        <f>IF($A189="","",SUMIFS(Transactions!$H$2:$H$1001,Transactions!$B$2:$B$1001,$A189,Transactions!$E$2:$E$1001,"Studio"))</f>
        <v/>
      </c>
      <c r="E189" s="56">
        <f>IF($A189="","",SUMIFS(Transactions!$H$2:$H$1001,Transactions!$B$2:$B$1001,$A189,Transactions!$E$2:$E$1001,"Knokke"))</f>
        <v/>
      </c>
      <c r="F189" s="56">
        <f>IF($A189="","",SUMIFS(Transactions!$H$2:$H$1001,Transactions!$B$2:$B$1001,$A189,Transactions!$E$2:$E$1001,"Warehouse"))</f>
        <v/>
      </c>
      <c r="G189" s="56">
        <f>IF($A189="","",SUM(D189:F189))</f>
        <v/>
      </c>
      <c r="H189" s="60">
        <f>IF($A189="","",VLOOKUP($A189,Catalog!$A$2:$N$201,13,FALSE))</f>
        <v/>
      </c>
      <c r="I189" s="60">
        <f>IF($A189="","",IF(G189&lt;=0,"Out of stock",IF(G189&lt;=H189,"Reorder","Healthy")))</f>
        <v/>
      </c>
      <c r="J189" s="60">
        <f>IF($A189="","",VLOOKUP($A189,Catalog!$A$2:$N$201,2,FALSE))</f>
        <v/>
      </c>
      <c r="K189" s="76">
        <f>IF($A189="","",VLOOKUP($A189,Catalog!$A$2:$N$201,11,FALSE))</f>
        <v/>
      </c>
      <c r="L189" s="76">
        <f>IF($A189="","",G189*K189)</f>
        <v/>
      </c>
      <c r="M189" s="76">
        <f>IF($A189="","",G189*VLOOKUP($A189,Catalog!$A$2:$N$201,12,FALSE))</f>
        <v/>
      </c>
    </row>
    <row r="190">
      <c r="A190" s="60">
        <f>IF(Catalog!A190="","",Catalog!A190)</f>
        <v/>
      </c>
      <c r="B190" s="60">
        <f>IF($A190="","",VLOOKUP($A190,Catalog!$A$2:$N$201,3,FALSE))</f>
        <v/>
      </c>
      <c r="C190" s="60">
        <f>IF($A190="","",VLOOKUP($A190,Catalog!$A$2:$N$201,4,FALSE))</f>
        <v/>
      </c>
      <c r="D190" s="56">
        <f>IF($A190="","",SUMIFS(Transactions!$H$2:$H$1001,Transactions!$B$2:$B$1001,$A190,Transactions!$E$2:$E$1001,"Studio"))</f>
        <v/>
      </c>
      <c r="E190" s="56">
        <f>IF($A190="","",SUMIFS(Transactions!$H$2:$H$1001,Transactions!$B$2:$B$1001,$A190,Transactions!$E$2:$E$1001,"Knokke"))</f>
        <v/>
      </c>
      <c r="F190" s="56">
        <f>IF($A190="","",SUMIFS(Transactions!$H$2:$H$1001,Transactions!$B$2:$B$1001,$A190,Transactions!$E$2:$E$1001,"Warehouse"))</f>
        <v/>
      </c>
      <c r="G190" s="56">
        <f>IF($A190="","",SUM(D190:F190))</f>
        <v/>
      </c>
      <c r="H190" s="60">
        <f>IF($A190="","",VLOOKUP($A190,Catalog!$A$2:$N$201,13,FALSE))</f>
        <v/>
      </c>
      <c r="I190" s="60">
        <f>IF($A190="","",IF(G190&lt;=0,"Out of stock",IF(G190&lt;=H190,"Reorder","Healthy")))</f>
        <v/>
      </c>
      <c r="J190" s="60">
        <f>IF($A190="","",VLOOKUP($A190,Catalog!$A$2:$N$201,2,FALSE))</f>
        <v/>
      </c>
      <c r="K190" s="76">
        <f>IF($A190="","",VLOOKUP($A190,Catalog!$A$2:$N$201,11,FALSE))</f>
        <v/>
      </c>
      <c r="L190" s="76">
        <f>IF($A190="","",G190*K190)</f>
        <v/>
      </c>
      <c r="M190" s="76">
        <f>IF($A190="","",G190*VLOOKUP($A190,Catalog!$A$2:$N$201,12,FALSE))</f>
        <v/>
      </c>
    </row>
    <row r="191">
      <c r="A191" s="60">
        <f>IF(Catalog!A191="","",Catalog!A191)</f>
        <v/>
      </c>
      <c r="B191" s="60">
        <f>IF($A191="","",VLOOKUP($A191,Catalog!$A$2:$N$201,3,FALSE))</f>
        <v/>
      </c>
      <c r="C191" s="60">
        <f>IF($A191="","",VLOOKUP($A191,Catalog!$A$2:$N$201,4,FALSE))</f>
        <v/>
      </c>
      <c r="D191" s="56">
        <f>IF($A191="","",SUMIFS(Transactions!$H$2:$H$1001,Transactions!$B$2:$B$1001,$A191,Transactions!$E$2:$E$1001,"Studio"))</f>
        <v/>
      </c>
      <c r="E191" s="56">
        <f>IF($A191="","",SUMIFS(Transactions!$H$2:$H$1001,Transactions!$B$2:$B$1001,$A191,Transactions!$E$2:$E$1001,"Knokke"))</f>
        <v/>
      </c>
      <c r="F191" s="56">
        <f>IF($A191="","",SUMIFS(Transactions!$H$2:$H$1001,Transactions!$B$2:$B$1001,$A191,Transactions!$E$2:$E$1001,"Warehouse"))</f>
        <v/>
      </c>
      <c r="G191" s="56">
        <f>IF($A191="","",SUM(D191:F191))</f>
        <v/>
      </c>
      <c r="H191" s="60">
        <f>IF($A191="","",VLOOKUP($A191,Catalog!$A$2:$N$201,13,FALSE))</f>
        <v/>
      </c>
      <c r="I191" s="60">
        <f>IF($A191="","",IF(G191&lt;=0,"Out of stock",IF(G191&lt;=H191,"Reorder","Healthy")))</f>
        <v/>
      </c>
      <c r="J191" s="60">
        <f>IF($A191="","",VLOOKUP($A191,Catalog!$A$2:$N$201,2,FALSE))</f>
        <v/>
      </c>
      <c r="K191" s="76">
        <f>IF($A191="","",VLOOKUP($A191,Catalog!$A$2:$N$201,11,FALSE))</f>
        <v/>
      </c>
      <c r="L191" s="76">
        <f>IF($A191="","",G191*K191)</f>
        <v/>
      </c>
      <c r="M191" s="76">
        <f>IF($A191="","",G191*VLOOKUP($A191,Catalog!$A$2:$N$201,12,FALSE))</f>
        <v/>
      </c>
    </row>
    <row r="192">
      <c r="A192" s="60">
        <f>IF(Catalog!A192="","",Catalog!A192)</f>
        <v/>
      </c>
      <c r="B192" s="60">
        <f>IF($A192="","",VLOOKUP($A192,Catalog!$A$2:$N$201,3,FALSE))</f>
        <v/>
      </c>
      <c r="C192" s="60">
        <f>IF($A192="","",VLOOKUP($A192,Catalog!$A$2:$N$201,4,FALSE))</f>
        <v/>
      </c>
      <c r="D192" s="56">
        <f>IF($A192="","",SUMIFS(Transactions!$H$2:$H$1001,Transactions!$B$2:$B$1001,$A192,Transactions!$E$2:$E$1001,"Studio"))</f>
        <v/>
      </c>
      <c r="E192" s="56">
        <f>IF($A192="","",SUMIFS(Transactions!$H$2:$H$1001,Transactions!$B$2:$B$1001,$A192,Transactions!$E$2:$E$1001,"Knokke"))</f>
        <v/>
      </c>
      <c r="F192" s="56">
        <f>IF($A192="","",SUMIFS(Transactions!$H$2:$H$1001,Transactions!$B$2:$B$1001,$A192,Transactions!$E$2:$E$1001,"Warehouse"))</f>
        <v/>
      </c>
      <c r="G192" s="56">
        <f>IF($A192="","",SUM(D192:F192))</f>
        <v/>
      </c>
      <c r="H192" s="60">
        <f>IF($A192="","",VLOOKUP($A192,Catalog!$A$2:$N$201,13,FALSE))</f>
        <v/>
      </c>
      <c r="I192" s="60">
        <f>IF($A192="","",IF(G192&lt;=0,"Out of stock",IF(G192&lt;=H192,"Reorder","Healthy")))</f>
        <v/>
      </c>
      <c r="J192" s="60">
        <f>IF($A192="","",VLOOKUP($A192,Catalog!$A$2:$N$201,2,FALSE))</f>
        <v/>
      </c>
      <c r="K192" s="76">
        <f>IF($A192="","",VLOOKUP($A192,Catalog!$A$2:$N$201,11,FALSE))</f>
        <v/>
      </c>
      <c r="L192" s="76">
        <f>IF($A192="","",G192*K192)</f>
        <v/>
      </c>
      <c r="M192" s="76">
        <f>IF($A192="","",G192*VLOOKUP($A192,Catalog!$A$2:$N$201,12,FALSE))</f>
        <v/>
      </c>
    </row>
    <row r="193">
      <c r="A193" s="60">
        <f>IF(Catalog!A193="","",Catalog!A193)</f>
        <v/>
      </c>
      <c r="B193" s="60">
        <f>IF($A193="","",VLOOKUP($A193,Catalog!$A$2:$N$201,3,FALSE))</f>
        <v/>
      </c>
      <c r="C193" s="60">
        <f>IF($A193="","",VLOOKUP($A193,Catalog!$A$2:$N$201,4,FALSE))</f>
        <v/>
      </c>
      <c r="D193" s="56">
        <f>IF($A193="","",SUMIFS(Transactions!$H$2:$H$1001,Transactions!$B$2:$B$1001,$A193,Transactions!$E$2:$E$1001,"Studio"))</f>
        <v/>
      </c>
      <c r="E193" s="56">
        <f>IF($A193="","",SUMIFS(Transactions!$H$2:$H$1001,Transactions!$B$2:$B$1001,$A193,Transactions!$E$2:$E$1001,"Knokke"))</f>
        <v/>
      </c>
      <c r="F193" s="56">
        <f>IF($A193="","",SUMIFS(Transactions!$H$2:$H$1001,Transactions!$B$2:$B$1001,$A193,Transactions!$E$2:$E$1001,"Warehouse"))</f>
        <v/>
      </c>
      <c r="G193" s="56">
        <f>IF($A193="","",SUM(D193:F193))</f>
        <v/>
      </c>
      <c r="H193" s="60">
        <f>IF($A193="","",VLOOKUP($A193,Catalog!$A$2:$N$201,13,FALSE))</f>
        <v/>
      </c>
      <c r="I193" s="60">
        <f>IF($A193="","",IF(G193&lt;=0,"Out of stock",IF(G193&lt;=H193,"Reorder","Healthy")))</f>
        <v/>
      </c>
      <c r="J193" s="60">
        <f>IF($A193="","",VLOOKUP($A193,Catalog!$A$2:$N$201,2,FALSE))</f>
        <v/>
      </c>
      <c r="K193" s="76">
        <f>IF($A193="","",VLOOKUP($A193,Catalog!$A$2:$N$201,11,FALSE))</f>
        <v/>
      </c>
      <c r="L193" s="76">
        <f>IF($A193="","",G193*K193)</f>
        <v/>
      </c>
      <c r="M193" s="76">
        <f>IF($A193="","",G193*VLOOKUP($A193,Catalog!$A$2:$N$201,12,FALSE))</f>
        <v/>
      </c>
    </row>
    <row r="194">
      <c r="A194" s="60">
        <f>IF(Catalog!A194="","",Catalog!A194)</f>
        <v/>
      </c>
      <c r="B194" s="60">
        <f>IF($A194="","",VLOOKUP($A194,Catalog!$A$2:$N$201,3,FALSE))</f>
        <v/>
      </c>
      <c r="C194" s="60">
        <f>IF($A194="","",VLOOKUP($A194,Catalog!$A$2:$N$201,4,FALSE))</f>
        <v/>
      </c>
      <c r="D194" s="56">
        <f>IF($A194="","",SUMIFS(Transactions!$H$2:$H$1001,Transactions!$B$2:$B$1001,$A194,Transactions!$E$2:$E$1001,"Studio"))</f>
        <v/>
      </c>
      <c r="E194" s="56">
        <f>IF($A194="","",SUMIFS(Transactions!$H$2:$H$1001,Transactions!$B$2:$B$1001,$A194,Transactions!$E$2:$E$1001,"Knokke"))</f>
        <v/>
      </c>
      <c r="F194" s="56">
        <f>IF($A194="","",SUMIFS(Transactions!$H$2:$H$1001,Transactions!$B$2:$B$1001,$A194,Transactions!$E$2:$E$1001,"Warehouse"))</f>
        <v/>
      </c>
      <c r="G194" s="56">
        <f>IF($A194="","",SUM(D194:F194))</f>
        <v/>
      </c>
      <c r="H194" s="60">
        <f>IF($A194="","",VLOOKUP($A194,Catalog!$A$2:$N$201,13,FALSE))</f>
        <v/>
      </c>
      <c r="I194" s="60">
        <f>IF($A194="","",IF(G194&lt;=0,"Out of stock",IF(G194&lt;=H194,"Reorder","Healthy")))</f>
        <v/>
      </c>
      <c r="J194" s="60">
        <f>IF($A194="","",VLOOKUP($A194,Catalog!$A$2:$N$201,2,FALSE))</f>
        <v/>
      </c>
      <c r="K194" s="76">
        <f>IF($A194="","",VLOOKUP($A194,Catalog!$A$2:$N$201,11,FALSE))</f>
        <v/>
      </c>
      <c r="L194" s="76">
        <f>IF($A194="","",G194*K194)</f>
        <v/>
      </c>
      <c r="M194" s="76">
        <f>IF($A194="","",G194*VLOOKUP($A194,Catalog!$A$2:$N$201,12,FALSE))</f>
        <v/>
      </c>
    </row>
    <row r="195">
      <c r="A195" s="60">
        <f>IF(Catalog!A195="","",Catalog!A195)</f>
        <v/>
      </c>
      <c r="B195" s="60">
        <f>IF($A195="","",VLOOKUP($A195,Catalog!$A$2:$N$201,3,FALSE))</f>
        <v/>
      </c>
      <c r="C195" s="60">
        <f>IF($A195="","",VLOOKUP($A195,Catalog!$A$2:$N$201,4,FALSE))</f>
        <v/>
      </c>
      <c r="D195" s="56">
        <f>IF($A195="","",SUMIFS(Transactions!$H$2:$H$1001,Transactions!$B$2:$B$1001,$A195,Transactions!$E$2:$E$1001,"Studio"))</f>
        <v/>
      </c>
      <c r="E195" s="56">
        <f>IF($A195="","",SUMIFS(Transactions!$H$2:$H$1001,Transactions!$B$2:$B$1001,$A195,Transactions!$E$2:$E$1001,"Knokke"))</f>
        <v/>
      </c>
      <c r="F195" s="56">
        <f>IF($A195="","",SUMIFS(Transactions!$H$2:$H$1001,Transactions!$B$2:$B$1001,$A195,Transactions!$E$2:$E$1001,"Warehouse"))</f>
        <v/>
      </c>
      <c r="G195" s="56">
        <f>IF($A195="","",SUM(D195:F195))</f>
        <v/>
      </c>
      <c r="H195" s="60">
        <f>IF($A195="","",VLOOKUP($A195,Catalog!$A$2:$N$201,13,FALSE))</f>
        <v/>
      </c>
      <c r="I195" s="60">
        <f>IF($A195="","",IF(G195&lt;=0,"Out of stock",IF(G195&lt;=H195,"Reorder","Healthy")))</f>
        <v/>
      </c>
      <c r="J195" s="60">
        <f>IF($A195="","",VLOOKUP($A195,Catalog!$A$2:$N$201,2,FALSE))</f>
        <v/>
      </c>
      <c r="K195" s="76">
        <f>IF($A195="","",VLOOKUP($A195,Catalog!$A$2:$N$201,11,FALSE))</f>
        <v/>
      </c>
      <c r="L195" s="76">
        <f>IF($A195="","",G195*K195)</f>
        <v/>
      </c>
      <c r="M195" s="76">
        <f>IF($A195="","",G195*VLOOKUP($A195,Catalog!$A$2:$N$201,12,FALSE))</f>
        <v/>
      </c>
    </row>
    <row r="196">
      <c r="A196" s="60">
        <f>IF(Catalog!A196="","",Catalog!A196)</f>
        <v/>
      </c>
      <c r="B196" s="60">
        <f>IF($A196="","",VLOOKUP($A196,Catalog!$A$2:$N$201,3,FALSE))</f>
        <v/>
      </c>
      <c r="C196" s="60">
        <f>IF($A196="","",VLOOKUP($A196,Catalog!$A$2:$N$201,4,FALSE))</f>
        <v/>
      </c>
      <c r="D196" s="56">
        <f>IF($A196="","",SUMIFS(Transactions!$H$2:$H$1001,Transactions!$B$2:$B$1001,$A196,Transactions!$E$2:$E$1001,"Studio"))</f>
        <v/>
      </c>
      <c r="E196" s="56">
        <f>IF($A196="","",SUMIFS(Transactions!$H$2:$H$1001,Transactions!$B$2:$B$1001,$A196,Transactions!$E$2:$E$1001,"Knokke"))</f>
        <v/>
      </c>
      <c r="F196" s="56">
        <f>IF($A196="","",SUMIFS(Transactions!$H$2:$H$1001,Transactions!$B$2:$B$1001,$A196,Transactions!$E$2:$E$1001,"Warehouse"))</f>
        <v/>
      </c>
      <c r="G196" s="56">
        <f>IF($A196="","",SUM(D196:F196))</f>
        <v/>
      </c>
      <c r="H196" s="60">
        <f>IF($A196="","",VLOOKUP($A196,Catalog!$A$2:$N$201,13,FALSE))</f>
        <v/>
      </c>
      <c r="I196" s="60">
        <f>IF($A196="","",IF(G196&lt;=0,"Out of stock",IF(G196&lt;=H196,"Reorder","Healthy")))</f>
        <v/>
      </c>
      <c r="J196" s="60">
        <f>IF($A196="","",VLOOKUP($A196,Catalog!$A$2:$N$201,2,FALSE))</f>
        <v/>
      </c>
      <c r="K196" s="76">
        <f>IF($A196="","",VLOOKUP($A196,Catalog!$A$2:$N$201,11,FALSE))</f>
        <v/>
      </c>
      <c r="L196" s="76">
        <f>IF($A196="","",G196*K196)</f>
        <v/>
      </c>
      <c r="M196" s="76">
        <f>IF($A196="","",G196*VLOOKUP($A196,Catalog!$A$2:$N$201,12,FALSE))</f>
        <v/>
      </c>
    </row>
    <row r="197">
      <c r="A197" s="60">
        <f>IF(Catalog!A197="","",Catalog!A197)</f>
        <v/>
      </c>
      <c r="B197" s="60">
        <f>IF($A197="","",VLOOKUP($A197,Catalog!$A$2:$N$201,3,FALSE))</f>
        <v/>
      </c>
      <c r="C197" s="60">
        <f>IF($A197="","",VLOOKUP($A197,Catalog!$A$2:$N$201,4,FALSE))</f>
        <v/>
      </c>
      <c r="D197" s="56">
        <f>IF($A197="","",SUMIFS(Transactions!$H$2:$H$1001,Transactions!$B$2:$B$1001,$A197,Transactions!$E$2:$E$1001,"Studio"))</f>
        <v/>
      </c>
      <c r="E197" s="56">
        <f>IF($A197="","",SUMIFS(Transactions!$H$2:$H$1001,Transactions!$B$2:$B$1001,$A197,Transactions!$E$2:$E$1001,"Knokke"))</f>
        <v/>
      </c>
      <c r="F197" s="56">
        <f>IF($A197="","",SUMIFS(Transactions!$H$2:$H$1001,Transactions!$B$2:$B$1001,$A197,Transactions!$E$2:$E$1001,"Warehouse"))</f>
        <v/>
      </c>
      <c r="G197" s="56">
        <f>IF($A197="","",SUM(D197:F197))</f>
        <v/>
      </c>
      <c r="H197" s="60">
        <f>IF($A197="","",VLOOKUP($A197,Catalog!$A$2:$N$201,13,FALSE))</f>
        <v/>
      </c>
      <c r="I197" s="60">
        <f>IF($A197="","",IF(G197&lt;=0,"Out of stock",IF(G197&lt;=H197,"Reorder","Healthy")))</f>
        <v/>
      </c>
      <c r="J197" s="60">
        <f>IF($A197="","",VLOOKUP($A197,Catalog!$A$2:$N$201,2,FALSE))</f>
        <v/>
      </c>
      <c r="K197" s="76">
        <f>IF($A197="","",VLOOKUP($A197,Catalog!$A$2:$N$201,11,FALSE))</f>
        <v/>
      </c>
      <c r="L197" s="76">
        <f>IF($A197="","",G197*K197)</f>
        <v/>
      </c>
      <c r="M197" s="76">
        <f>IF($A197="","",G197*VLOOKUP($A197,Catalog!$A$2:$N$201,12,FALSE))</f>
        <v/>
      </c>
    </row>
    <row r="198">
      <c r="A198" s="60">
        <f>IF(Catalog!A198="","",Catalog!A198)</f>
        <v/>
      </c>
      <c r="B198" s="60">
        <f>IF($A198="","",VLOOKUP($A198,Catalog!$A$2:$N$201,3,FALSE))</f>
        <v/>
      </c>
      <c r="C198" s="60">
        <f>IF($A198="","",VLOOKUP($A198,Catalog!$A$2:$N$201,4,FALSE))</f>
        <v/>
      </c>
      <c r="D198" s="56">
        <f>IF($A198="","",SUMIFS(Transactions!$H$2:$H$1001,Transactions!$B$2:$B$1001,$A198,Transactions!$E$2:$E$1001,"Studio"))</f>
        <v/>
      </c>
      <c r="E198" s="56">
        <f>IF($A198="","",SUMIFS(Transactions!$H$2:$H$1001,Transactions!$B$2:$B$1001,$A198,Transactions!$E$2:$E$1001,"Knokke"))</f>
        <v/>
      </c>
      <c r="F198" s="56">
        <f>IF($A198="","",SUMIFS(Transactions!$H$2:$H$1001,Transactions!$B$2:$B$1001,$A198,Transactions!$E$2:$E$1001,"Warehouse"))</f>
        <v/>
      </c>
      <c r="G198" s="56">
        <f>IF($A198="","",SUM(D198:F198))</f>
        <v/>
      </c>
      <c r="H198" s="60">
        <f>IF($A198="","",VLOOKUP($A198,Catalog!$A$2:$N$201,13,FALSE))</f>
        <v/>
      </c>
      <c r="I198" s="60">
        <f>IF($A198="","",IF(G198&lt;=0,"Out of stock",IF(G198&lt;=H198,"Reorder","Healthy")))</f>
        <v/>
      </c>
      <c r="J198" s="60">
        <f>IF($A198="","",VLOOKUP($A198,Catalog!$A$2:$N$201,2,FALSE))</f>
        <v/>
      </c>
      <c r="K198" s="76">
        <f>IF($A198="","",VLOOKUP($A198,Catalog!$A$2:$N$201,11,FALSE))</f>
        <v/>
      </c>
      <c r="L198" s="76">
        <f>IF($A198="","",G198*K198)</f>
        <v/>
      </c>
      <c r="M198" s="76">
        <f>IF($A198="","",G198*VLOOKUP($A198,Catalog!$A$2:$N$201,12,FALSE))</f>
        <v/>
      </c>
    </row>
    <row r="199">
      <c r="A199" s="60">
        <f>IF(Catalog!A199="","",Catalog!A199)</f>
        <v/>
      </c>
      <c r="B199" s="60">
        <f>IF($A199="","",VLOOKUP($A199,Catalog!$A$2:$N$201,3,FALSE))</f>
        <v/>
      </c>
      <c r="C199" s="60">
        <f>IF($A199="","",VLOOKUP($A199,Catalog!$A$2:$N$201,4,FALSE))</f>
        <v/>
      </c>
      <c r="D199" s="56">
        <f>IF($A199="","",SUMIFS(Transactions!$H$2:$H$1001,Transactions!$B$2:$B$1001,$A199,Transactions!$E$2:$E$1001,"Studio"))</f>
        <v/>
      </c>
      <c r="E199" s="56">
        <f>IF($A199="","",SUMIFS(Transactions!$H$2:$H$1001,Transactions!$B$2:$B$1001,$A199,Transactions!$E$2:$E$1001,"Knokke"))</f>
        <v/>
      </c>
      <c r="F199" s="56">
        <f>IF($A199="","",SUMIFS(Transactions!$H$2:$H$1001,Transactions!$B$2:$B$1001,$A199,Transactions!$E$2:$E$1001,"Warehouse"))</f>
        <v/>
      </c>
      <c r="G199" s="56">
        <f>IF($A199="","",SUM(D199:F199))</f>
        <v/>
      </c>
      <c r="H199" s="60">
        <f>IF($A199="","",VLOOKUP($A199,Catalog!$A$2:$N$201,13,FALSE))</f>
        <v/>
      </c>
      <c r="I199" s="60">
        <f>IF($A199="","",IF(G199&lt;=0,"Out of stock",IF(G199&lt;=H199,"Reorder","Healthy")))</f>
        <v/>
      </c>
      <c r="J199" s="60">
        <f>IF($A199="","",VLOOKUP($A199,Catalog!$A$2:$N$201,2,FALSE))</f>
        <v/>
      </c>
      <c r="K199" s="76">
        <f>IF($A199="","",VLOOKUP($A199,Catalog!$A$2:$N$201,11,FALSE))</f>
        <v/>
      </c>
      <c r="L199" s="76">
        <f>IF($A199="","",G199*K199)</f>
        <v/>
      </c>
      <c r="M199" s="76">
        <f>IF($A199="","",G199*VLOOKUP($A199,Catalog!$A$2:$N$201,12,FALSE))</f>
        <v/>
      </c>
    </row>
    <row r="200">
      <c r="A200" s="60">
        <f>IF(Catalog!A200="","",Catalog!A200)</f>
        <v/>
      </c>
      <c r="B200" s="60">
        <f>IF($A200="","",VLOOKUP($A200,Catalog!$A$2:$N$201,3,FALSE))</f>
        <v/>
      </c>
      <c r="C200" s="60">
        <f>IF($A200="","",VLOOKUP($A200,Catalog!$A$2:$N$201,4,FALSE))</f>
        <v/>
      </c>
      <c r="D200" s="56">
        <f>IF($A200="","",SUMIFS(Transactions!$H$2:$H$1001,Transactions!$B$2:$B$1001,$A200,Transactions!$E$2:$E$1001,"Studio"))</f>
        <v/>
      </c>
      <c r="E200" s="56">
        <f>IF($A200="","",SUMIFS(Transactions!$H$2:$H$1001,Transactions!$B$2:$B$1001,$A200,Transactions!$E$2:$E$1001,"Knokke"))</f>
        <v/>
      </c>
      <c r="F200" s="56">
        <f>IF($A200="","",SUMIFS(Transactions!$H$2:$H$1001,Transactions!$B$2:$B$1001,$A200,Transactions!$E$2:$E$1001,"Warehouse"))</f>
        <v/>
      </c>
      <c r="G200" s="56">
        <f>IF($A200="","",SUM(D200:F200))</f>
        <v/>
      </c>
      <c r="H200" s="60">
        <f>IF($A200="","",VLOOKUP($A200,Catalog!$A$2:$N$201,13,FALSE))</f>
        <v/>
      </c>
      <c r="I200" s="60">
        <f>IF($A200="","",IF(G200&lt;=0,"Out of stock",IF(G200&lt;=H200,"Reorder","Healthy")))</f>
        <v/>
      </c>
      <c r="J200" s="60">
        <f>IF($A200="","",VLOOKUP($A200,Catalog!$A$2:$N$201,2,FALSE))</f>
        <v/>
      </c>
      <c r="K200" s="76">
        <f>IF($A200="","",VLOOKUP($A200,Catalog!$A$2:$N$201,11,FALSE))</f>
        <v/>
      </c>
      <c r="L200" s="76">
        <f>IF($A200="","",G200*K200)</f>
        <v/>
      </c>
      <c r="M200" s="76">
        <f>IF($A200="","",G200*VLOOKUP($A200,Catalog!$A$2:$N$201,12,FALSE))</f>
        <v/>
      </c>
    </row>
    <row r="201">
      <c r="A201" s="60">
        <f>IF(Catalog!A201="","",Catalog!A201)</f>
        <v/>
      </c>
      <c r="B201" s="60">
        <f>IF($A201="","",VLOOKUP($A201,Catalog!$A$2:$N$201,3,FALSE))</f>
        <v/>
      </c>
      <c r="C201" s="60">
        <f>IF($A201="","",VLOOKUP($A201,Catalog!$A$2:$N$201,4,FALSE))</f>
        <v/>
      </c>
      <c r="D201" s="56">
        <f>IF($A201="","",SUMIFS(Transactions!$H$2:$H$1001,Transactions!$B$2:$B$1001,$A201,Transactions!$E$2:$E$1001,"Studio"))</f>
        <v/>
      </c>
      <c r="E201" s="56">
        <f>IF($A201="","",SUMIFS(Transactions!$H$2:$H$1001,Transactions!$B$2:$B$1001,$A201,Transactions!$E$2:$E$1001,"Knokke"))</f>
        <v/>
      </c>
      <c r="F201" s="56">
        <f>IF($A201="","",SUMIFS(Transactions!$H$2:$H$1001,Transactions!$B$2:$B$1001,$A201,Transactions!$E$2:$E$1001,"Warehouse"))</f>
        <v/>
      </c>
      <c r="G201" s="56">
        <f>IF($A201="","",SUM(D201:F201))</f>
        <v/>
      </c>
      <c r="H201" s="60">
        <f>IF($A201="","",VLOOKUP($A201,Catalog!$A$2:$N$201,13,FALSE))</f>
        <v/>
      </c>
      <c r="I201" s="60">
        <f>IF($A201="","",IF(G201&lt;=0,"Out of stock",IF(G201&lt;=H201,"Reorder","Healthy")))</f>
        <v/>
      </c>
      <c r="J201" s="60">
        <f>IF($A201="","",VLOOKUP($A201,Catalog!$A$2:$N$201,2,FALSE))</f>
        <v/>
      </c>
      <c r="K201" s="76">
        <f>IF($A201="","",VLOOKUP($A201,Catalog!$A$2:$N$201,11,FALSE))</f>
        <v/>
      </c>
      <c r="L201" s="76">
        <f>IF($A201="","",G201*K201)</f>
        <v/>
      </c>
      <c r="M201" s="76">
        <f>IF($A201="","",G201*VLOOKUP($A201,Catalog!$A$2:$N$201,12,FALSE))</f>
        <v/>
      </c>
    </row>
  </sheetData>
  <conditionalFormatting sqref="I2:I201">
    <cfRule type="expression" priority="1" dxfId="0">
      <formula>$I2="Healthy"</formula>
    </cfRule>
    <cfRule type="expression" priority="2" dxfId="1">
      <formula>$I2="Reorder"</formula>
    </cfRule>
    <cfRule type="expression" priority="3" dxfId="2">
      <formula>$I2="Out of stock"</formula>
    </cfRule>
  </conditionalFormatting>
  <conditionalFormatting sqref="G2:G201">
    <cfRule type="dataBar" priority="4">
      <dataBar>
        <cfvo type="min"/>
        <cfvo type="max"/>
        <color rgb="00B9A391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  <col width="12" customWidth="1" min="15" max="15"/>
    <col width="14" customWidth="1" min="16" max="16"/>
    <col width="16" customWidth="1" min="17" max="17"/>
  </cols>
  <sheetData>
    <row r="1" ht="22" customHeight="1">
      <c r="A1" s="54" t="inlineStr">
        <is>
          <t>Handle</t>
        </is>
      </c>
      <c r="B1" s="54" t="inlineStr">
        <is>
          <t>Title</t>
        </is>
      </c>
      <c r="C1" s="54" t="inlineStr">
        <is>
          <t>Option1 Name</t>
        </is>
      </c>
      <c r="D1" s="54" t="inlineStr">
        <is>
          <t>Option1 Value</t>
        </is>
      </c>
      <c r="E1" s="54" t="inlineStr">
        <is>
          <t>Variant SKU</t>
        </is>
      </c>
      <c r="F1" s="54" t="inlineStr">
        <is>
          <t>Variant Barcode</t>
        </is>
      </c>
      <c r="G1" s="54" t="inlineStr">
        <is>
          <t>Variant Price</t>
        </is>
      </c>
      <c r="H1" s="54" t="inlineStr">
        <is>
          <t>Cost per item</t>
        </is>
      </c>
      <c r="I1" s="54" t="inlineStr">
        <is>
          <t>Vendor</t>
        </is>
      </c>
      <c r="J1" s="54" t="inlineStr">
        <is>
          <t>Type</t>
        </is>
      </c>
      <c r="K1" s="54" t="inlineStr">
        <is>
          <t>Published</t>
        </is>
      </c>
      <c r="L1" s="54" t="inlineStr">
        <is>
          <t>Inventory Tracker</t>
        </is>
      </c>
      <c r="M1" s="54" t="inlineStr">
        <is>
          <t>Inventory Policy</t>
        </is>
      </c>
      <c r="N1" s="54" t="inlineStr">
        <is>
          <t>Status</t>
        </is>
      </c>
      <c r="O1" s="54" t="inlineStr">
        <is>
          <t>Studio Available</t>
        </is>
      </c>
      <c r="P1" s="54" t="inlineStr">
        <is>
          <t>Knokke Available</t>
        </is>
      </c>
      <c r="Q1" s="54" t="inlineStr">
        <is>
          <t>Warehouse Available</t>
        </is>
      </c>
    </row>
    <row r="2">
      <c r="A2" s="60">
        <f>IF(Catalog!N2&lt;&gt;"Yes","",Catalog!B2)</f>
        <v/>
      </c>
      <c r="B2" s="60">
        <f>IF(A2="","",Catalog!C2)</f>
        <v/>
      </c>
      <c r="C2" s="60">
        <f>IF(A2="","",Catalog!H2)</f>
        <v/>
      </c>
      <c r="D2" s="60">
        <f>IF(A2="","",Catalog!I2)</f>
        <v/>
      </c>
      <c r="E2" s="60">
        <f>IF(A2="","",Catalog!A2)</f>
        <v/>
      </c>
      <c r="F2" s="60">
        <f>IF(A2="","",Catalog!J2)</f>
        <v/>
      </c>
      <c r="G2" s="76">
        <f>IF(A2="","",Catalog!L2)</f>
        <v/>
      </c>
      <c r="H2" s="76">
        <f>IF(A2="","",Catalog!K2)</f>
        <v/>
      </c>
      <c r="I2" s="60">
        <f>IF(A2="","",Catalog!F2)</f>
        <v/>
      </c>
      <c r="J2" s="60">
        <f>IF(A2="","",Catalog!G2)</f>
        <v/>
      </c>
      <c r="K2" s="60">
        <f>IF(A2="","","TRUE")</f>
        <v/>
      </c>
      <c r="L2" s="60">
        <f>IF(A2="","","shopify")</f>
        <v/>
      </c>
      <c r="M2" s="60">
        <f>IF(A2="","","deny")</f>
        <v/>
      </c>
      <c r="N2" s="60">
        <f>IF(A2="","","active")</f>
        <v/>
      </c>
      <c r="O2" s="60">
        <f>IF(A2="","",VLOOKUP(E2,Inventory_Live!$A$2:$M$201,4,FALSE))</f>
        <v/>
      </c>
      <c r="P2" s="60">
        <f>IF(A2="","",VLOOKUP(E2,Inventory_Live!$A$2:$M$201,5,FALSE))</f>
        <v/>
      </c>
      <c r="Q2" s="60">
        <f>IF(A2="","",VLOOKUP(E2,Inventory_Live!$A$2:$M$201,6,FALSE))</f>
        <v/>
      </c>
    </row>
    <row r="3">
      <c r="A3" s="60">
        <f>IF(Catalog!N3&lt;&gt;"Yes","",Catalog!B3)</f>
        <v/>
      </c>
      <c r="B3" s="60">
        <f>IF(A3="","",Catalog!C3)</f>
        <v/>
      </c>
      <c r="C3" s="60">
        <f>IF(A3="","",Catalog!H3)</f>
        <v/>
      </c>
      <c r="D3" s="60">
        <f>IF(A3="","",Catalog!I3)</f>
        <v/>
      </c>
      <c r="E3" s="60">
        <f>IF(A3="","",Catalog!A3)</f>
        <v/>
      </c>
      <c r="F3" s="60">
        <f>IF(A3="","",Catalog!J3)</f>
        <v/>
      </c>
      <c r="G3" s="76">
        <f>IF(A3="","",Catalog!L3)</f>
        <v/>
      </c>
      <c r="H3" s="76">
        <f>IF(A3="","",Catalog!K3)</f>
        <v/>
      </c>
      <c r="I3" s="60">
        <f>IF(A3="","",Catalog!F3)</f>
        <v/>
      </c>
      <c r="J3" s="60">
        <f>IF(A3="","",Catalog!G3)</f>
        <v/>
      </c>
      <c r="K3" s="60">
        <f>IF(A3="","","TRUE")</f>
        <v/>
      </c>
      <c r="L3" s="60">
        <f>IF(A3="","","shopify")</f>
        <v/>
      </c>
      <c r="M3" s="60">
        <f>IF(A3="","","deny")</f>
        <v/>
      </c>
      <c r="N3" s="60">
        <f>IF(A3="","","active")</f>
        <v/>
      </c>
      <c r="O3" s="60">
        <f>IF(A3="","",VLOOKUP(E3,Inventory_Live!$A$2:$M$201,4,FALSE))</f>
        <v/>
      </c>
      <c r="P3" s="60">
        <f>IF(A3="","",VLOOKUP(E3,Inventory_Live!$A$2:$M$201,5,FALSE))</f>
        <v/>
      </c>
      <c r="Q3" s="60">
        <f>IF(A3="","",VLOOKUP(E3,Inventory_Live!$A$2:$M$201,6,FALSE))</f>
        <v/>
      </c>
    </row>
    <row r="4">
      <c r="A4" s="60">
        <f>IF(Catalog!N4&lt;&gt;"Yes","",Catalog!B4)</f>
        <v/>
      </c>
      <c r="B4" s="60">
        <f>IF(A4="","",Catalog!C4)</f>
        <v/>
      </c>
      <c r="C4" s="60">
        <f>IF(A4="","",Catalog!H4)</f>
        <v/>
      </c>
      <c r="D4" s="60">
        <f>IF(A4="","",Catalog!I4)</f>
        <v/>
      </c>
      <c r="E4" s="60">
        <f>IF(A4="","",Catalog!A4)</f>
        <v/>
      </c>
      <c r="F4" s="60">
        <f>IF(A4="","",Catalog!J4)</f>
        <v/>
      </c>
      <c r="G4" s="76">
        <f>IF(A4="","",Catalog!L4)</f>
        <v/>
      </c>
      <c r="H4" s="76">
        <f>IF(A4="","",Catalog!K4)</f>
        <v/>
      </c>
      <c r="I4" s="60">
        <f>IF(A4="","",Catalog!F4)</f>
        <v/>
      </c>
      <c r="J4" s="60">
        <f>IF(A4="","",Catalog!G4)</f>
        <v/>
      </c>
      <c r="K4" s="60">
        <f>IF(A4="","","TRUE")</f>
        <v/>
      </c>
      <c r="L4" s="60">
        <f>IF(A4="","","shopify")</f>
        <v/>
      </c>
      <c r="M4" s="60">
        <f>IF(A4="","","deny")</f>
        <v/>
      </c>
      <c r="N4" s="60">
        <f>IF(A4="","","active")</f>
        <v/>
      </c>
      <c r="O4" s="60">
        <f>IF(A4="","",VLOOKUP(E4,Inventory_Live!$A$2:$M$201,4,FALSE))</f>
        <v/>
      </c>
      <c r="P4" s="60">
        <f>IF(A4="","",VLOOKUP(E4,Inventory_Live!$A$2:$M$201,5,FALSE))</f>
        <v/>
      </c>
      <c r="Q4" s="60">
        <f>IF(A4="","",VLOOKUP(E4,Inventory_Live!$A$2:$M$201,6,FALSE))</f>
        <v/>
      </c>
    </row>
    <row r="5">
      <c r="A5" s="60">
        <f>IF(Catalog!N5&lt;&gt;"Yes","",Catalog!B5)</f>
        <v/>
      </c>
      <c r="B5" s="60">
        <f>IF(A5="","",Catalog!C5)</f>
        <v/>
      </c>
      <c r="C5" s="60">
        <f>IF(A5="","",Catalog!H5)</f>
        <v/>
      </c>
      <c r="D5" s="60">
        <f>IF(A5="","",Catalog!I5)</f>
        <v/>
      </c>
      <c r="E5" s="60">
        <f>IF(A5="","",Catalog!A5)</f>
        <v/>
      </c>
      <c r="F5" s="60">
        <f>IF(A5="","",Catalog!J5)</f>
        <v/>
      </c>
      <c r="G5" s="76">
        <f>IF(A5="","",Catalog!L5)</f>
        <v/>
      </c>
      <c r="H5" s="76">
        <f>IF(A5="","",Catalog!K5)</f>
        <v/>
      </c>
      <c r="I5" s="60">
        <f>IF(A5="","",Catalog!F5)</f>
        <v/>
      </c>
      <c r="J5" s="60">
        <f>IF(A5="","",Catalog!G5)</f>
        <v/>
      </c>
      <c r="K5" s="60">
        <f>IF(A5="","","TRUE")</f>
        <v/>
      </c>
      <c r="L5" s="60">
        <f>IF(A5="","","shopify")</f>
        <v/>
      </c>
      <c r="M5" s="60">
        <f>IF(A5="","","deny")</f>
        <v/>
      </c>
      <c r="N5" s="60">
        <f>IF(A5="","","active")</f>
        <v/>
      </c>
      <c r="O5" s="60">
        <f>IF(A5="","",VLOOKUP(E5,Inventory_Live!$A$2:$M$201,4,FALSE))</f>
        <v/>
      </c>
      <c r="P5" s="60">
        <f>IF(A5="","",VLOOKUP(E5,Inventory_Live!$A$2:$M$201,5,FALSE))</f>
        <v/>
      </c>
      <c r="Q5" s="60">
        <f>IF(A5="","",VLOOKUP(E5,Inventory_Live!$A$2:$M$201,6,FALSE))</f>
        <v/>
      </c>
    </row>
    <row r="6">
      <c r="A6" s="60">
        <f>IF(Catalog!N6&lt;&gt;"Yes","",Catalog!B6)</f>
        <v/>
      </c>
      <c r="B6" s="60">
        <f>IF(A6="","",Catalog!C6)</f>
        <v/>
      </c>
      <c r="C6" s="60">
        <f>IF(A6="","",Catalog!H6)</f>
        <v/>
      </c>
      <c r="D6" s="60">
        <f>IF(A6="","",Catalog!I6)</f>
        <v/>
      </c>
      <c r="E6" s="60">
        <f>IF(A6="","",Catalog!A6)</f>
        <v/>
      </c>
      <c r="F6" s="60">
        <f>IF(A6="","",Catalog!J6)</f>
        <v/>
      </c>
      <c r="G6" s="76">
        <f>IF(A6="","",Catalog!L6)</f>
        <v/>
      </c>
      <c r="H6" s="76">
        <f>IF(A6="","",Catalog!K6)</f>
        <v/>
      </c>
      <c r="I6" s="60">
        <f>IF(A6="","",Catalog!F6)</f>
        <v/>
      </c>
      <c r="J6" s="60">
        <f>IF(A6="","",Catalog!G6)</f>
        <v/>
      </c>
      <c r="K6" s="60">
        <f>IF(A6="","","TRUE")</f>
        <v/>
      </c>
      <c r="L6" s="60">
        <f>IF(A6="","","shopify")</f>
        <v/>
      </c>
      <c r="M6" s="60">
        <f>IF(A6="","","deny")</f>
        <v/>
      </c>
      <c r="N6" s="60">
        <f>IF(A6="","","active")</f>
        <v/>
      </c>
      <c r="O6" s="60">
        <f>IF(A6="","",VLOOKUP(E6,Inventory_Live!$A$2:$M$201,4,FALSE))</f>
        <v/>
      </c>
      <c r="P6" s="60">
        <f>IF(A6="","",VLOOKUP(E6,Inventory_Live!$A$2:$M$201,5,FALSE))</f>
        <v/>
      </c>
      <c r="Q6" s="60">
        <f>IF(A6="","",VLOOKUP(E6,Inventory_Live!$A$2:$M$201,6,FALSE))</f>
        <v/>
      </c>
    </row>
    <row r="7">
      <c r="A7" s="60">
        <f>IF(Catalog!N7&lt;&gt;"Yes","",Catalog!B7)</f>
        <v/>
      </c>
      <c r="B7" s="60">
        <f>IF(A7="","",Catalog!C7)</f>
        <v/>
      </c>
      <c r="C7" s="60">
        <f>IF(A7="","",Catalog!H7)</f>
        <v/>
      </c>
      <c r="D7" s="60">
        <f>IF(A7="","",Catalog!I7)</f>
        <v/>
      </c>
      <c r="E7" s="60">
        <f>IF(A7="","",Catalog!A7)</f>
        <v/>
      </c>
      <c r="F7" s="60">
        <f>IF(A7="","",Catalog!J7)</f>
        <v/>
      </c>
      <c r="G7" s="76">
        <f>IF(A7="","",Catalog!L7)</f>
        <v/>
      </c>
      <c r="H7" s="76">
        <f>IF(A7="","",Catalog!K7)</f>
        <v/>
      </c>
      <c r="I7" s="60">
        <f>IF(A7="","",Catalog!F7)</f>
        <v/>
      </c>
      <c r="J7" s="60">
        <f>IF(A7="","",Catalog!G7)</f>
        <v/>
      </c>
      <c r="K7" s="60">
        <f>IF(A7="","","TRUE")</f>
        <v/>
      </c>
      <c r="L7" s="60">
        <f>IF(A7="","","shopify")</f>
        <v/>
      </c>
      <c r="M7" s="60">
        <f>IF(A7="","","deny")</f>
        <v/>
      </c>
      <c r="N7" s="60">
        <f>IF(A7="","","active")</f>
        <v/>
      </c>
      <c r="O7" s="60">
        <f>IF(A7="","",VLOOKUP(E7,Inventory_Live!$A$2:$M$201,4,FALSE))</f>
        <v/>
      </c>
      <c r="P7" s="60">
        <f>IF(A7="","",VLOOKUP(E7,Inventory_Live!$A$2:$M$201,5,FALSE))</f>
        <v/>
      </c>
      <c r="Q7" s="60">
        <f>IF(A7="","",VLOOKUP(E7,Inventory_Live!$A$2:$M$201,6,FALSE))</f>
        <v/>
      </c>
    </row>
    <row r="8">
      <c r="A8" s="60">
        <f>IF(Catalog!N8&lt;&gt;"Yes","",Catalog!B8)</f>
        <v/>
      </c>
      <c r="B8" s="60">
        <f>IF(A8="","",Catalog!C8)</f>
        <v/>
      </c>
      <c r="C8" s="60">
        <f>IF(A8="","",Catalog!H8)</f>
        <v/>
      </c>
      <c r="D8" s="60">
        <f>IF(A8="","",Catalog!I8)</f>
        <v/>
      </c>
      <c r="E8" s="60">
        <f>IF(A8="","",Catalog!A8)</f>
        <v/>
      </c>
      <c r="F8" s="60">
        <f>IF(A8="","",Catalog!J8)</f>
        <v/>
      </c>
      <c r="G8" s="76">
        <f>IF(A8="","",Catalog!L8)</f>
        <v/>
      </c>
      <c r="H8" s="76">
        <f>IF(A8="","",Catalog!K8)</f>
        <v/>
      </c>
      <c r="I8" s="60">
        <f>IF(A8="","",Catalog!F8)</f>
        <v/>
      </c>
      <c r="J8" s="60">
        <f>IF(A8="","",Catalog!G8)</f>
        <v/>
      </c>
      <c r="K8" s="60">
        <f>IF(A8="","","TRUE")</f>
        <v/>
      </c>
      <c r="L8" s="60">
        <f>IF(A8="","","shopify")</f>
        <v/>
      </c>
      <c r="M8" s="60">
        <f>IF(A8="","","deny")</f>
        <v/>
      </c>
      <c r="N8" s="60">
        <f>IF(A8="","","active")</f>
        <v/>
      </c>
      <c r="O8" s="60">
        <f>IF(A8="","",VLOOKUP(E8,Inventory_Live!$A$2:$M$201,4,FALSE))</f>
        <v/>
      </c>
      <c r="P8" s="60">
        <f>IF(A8="","",VLOOKUP(E8,Inventory_Live!$A$2:$M$201,5,FALSE))</f>
        <v/>
      </c>
      <c r="Q8" s="60">
        <f>IF(A8="","",VLOOKUP(E8,Inventory_Live!$A$2:$M$201,6,FALSE))</f>
        <v/>
      </c>
    </row>
    <row r="9">
      <c r="A9" s="60">
        <f>IF(Catalog!N9&lt;&gt;"Yes","",Catalog!B9)</f>
        <v/>
      </c>
      <c r="B9" s="60">
        <f>IF(A9="","",Catalog!C9)</f>
        <v/>
      </c>
      <c r="C9" s="60">
        <f>IF(A9="","",Catalog!H9)</f>
        <v/>
      </c>
      <c r="D9" s="60">
        <f>IF(A9="","",Catalog!I9)</f>
        <v/>
      </c>
      <c r="E9" s="60">
        <f>IF(A9="","",Catalog!A9)</f>
        <v/>
      </c>
      <c r="F9" s="60">
        <f>IF(A9="","",Catalog!J9)</f>
        <v/>
      </c>
      <c r="G9" s="76">
        <f>IF(A9="","",Catalog!L9)</f>
        <v/>
      </c>
      <c r="H9" s="76">
        <f>IF(A9="","",Catalog!K9)</f>
        <v/>
      </c>
      <c r="I9" s="60">
        <f>IF(A9="","",Catalog!F9)</f>
        <v/>
      </c>
      <c r="J9" s="60">
        <f>IF(A9="","",Catalog!G9)</f>
        <v/>
      </c>
      <c r="K9" s="60">
        <f>IF(A9="","","TRUE")</f>
        <v/>
      </c>
      <c r="L9" s="60">
        <f>IF(A9="","","shopify")</f>
        <v/>
      </c>
      <c r="M9" s="60">
        <f>IF(A9="","","deny")</f>
        <v/>
      </c>
      <c r="N9" s="60">
        <f>IF(A9="","","active")</f>
        <v/>
      </c>
      <c r="O9" s="60">
        <f>IF(A9="","",VLOOKUP(E9,Inventory_Live!$A$2:$M$201,4,FALSE))</f>
        <v/>
      </c>
      <c r="P9" s="60">
        <f>IF(A9="","",VLOOKUP(E9,Inventory_Live!$A$2:$M$201,5,FALSE))</f>
        <v/>
      </c>
      <c r="Q9" s="60">
        <f>IF(A9="","",VLOOKUP(E9,Inventory_Live!$A$2:$M$201,6,FALSE))</f>
        <v/>
      </c>
    </row>
    <row r="10">
      <c r="A10" s="60">
        <f>IF(Catalog!N10&lt;&gt;"Yes","",Catalog!B10)</f>
        <v/>
      </c>
      <c r="B10" s="60">
        <f>IF(A10="","",Catalog!C10)</f>
        <v/>
      </c>
      <c r="C10" s="60">
        <f>IF(A10="","",Catalog!H10)</f>
        <v/>
      </c>
      <c r="D10" s="60">
        <f>IF(A10="","",Catalog!I10)</f>
        <v/>
      </c>
      <c r="E10" s="60">
        <f>IF(A10="","",Catalog!A10)</f>
        <v/>
      </c>
      <c r="F10" s="60">
        <f>IF(A10="","",Catalog!J10)</f>
        <v/>
      </c>
      <c r="G10" s="76">
        <f>IF(A10="","",Catalog!L10)</f>
        <v/>
      </c>
      <c r="H10" s="76">
        <f>IF(A10="","",Catalog!K10)</f>
        <v/>
      </c>
      <c r="I10" s="60">
        <f>IF(A10="","",Catalog!F10)</f>
        <v/>
      </c>
      <c r="J10" s="60">
        <f>IF(A10="","",Catalog!G10)</f>
        <v/>
      </c>
      <c r="K10" s="60">
        <f>IF(A10="","","TRUE")</f>
        <v/>
      </c>
      <c r="L10" s="60">
        <f>IF(A10="","","shopify")</f>
        <v/>
      </c>
      <c r="M10" s="60">
        <f>IF(A10="","","deny")</f>
        <v/>
      </c>
      <c r="N10" s="60">
        <f>IF(A10="","","active")</f>
        <v/>
      </c>
      <c r="O10" s="60">
        <f>IF(A10="","",VLOOKUP(E10,Inventory_Live!$A$2:$M$201,4,FALSE))</f>
        <v/>
      </c>
      <c r="P10" s="60">
        <f>IF(A10="","",VLOOKUP(E10,Inventory_Live!$A$2:$M$201,5,FALSE))</f>
        <v/>
      </c>
      <c r="Q10" s="60">
        <f>IF(A10="","",VLOOKUP(E10,Inventory_Live!$A$2:$M$201,6,FALSE))</f>
        <v/>
      </c>
    </row>
    <row r="11">
      <c r="A11" s="60">
        <f>IF(Catalog!N11&lt;&gt;"Yes","",Catalog!B11)</f>
        <v/>
      </c>
      <c r="B11" s="60">
        <f>IF(A11="","",Catalog!C11)</f>
        <v/>
      </c>
      <c r="C11" s="60">
        <f>IF(A11="","",Catalog!H11)</f>
        <v/>
      </c>
      <c r="D11" s="60">
        <f>IF(A11="","",Catalog!I11)</f>
        <v/>
      </c>
      <c r="E11" s="60">
        <f>IF(A11="","",Catalog!A11)</f>
        <v/>
      </c>
      <c r="F11" s="60">
        <f>IF(A11="","",Catalog!J11)</f>
        <v/>
      </c>
      <c r="G11" s="76">
        <f>IF(A11="","",Catalog!L11)</f>
        <v/>
      </c>
      <c r="H11" s="76">
        <f>IF(A11="","",Catalog!K11)</f>
        <v/>
      </c>
      <c r="I11" s="60">
        <f>IF(A11="","",Catalog!F11)</f>
        <v/>
      </c>
      <c r="J11" s="60">
        <f>IF(A11="","",Catalog!G11)</f>
        <v/>
      </c>
      <c r="K11" s="60">
        <f>IF(A11="","","TRUE")</f>
        <v/>
      </c>
      <c r="L11" s="60">
        <f>IF(A11="","","shopify")</f>
        <v/>
      </c>
      <c r="M11" s="60">
        <f>IF(A11="","","deny")</f>
        <v/>
      </c>
      <c r="N11" s="60">
        <f>IF(A11="","","active")</f>
        <v/>
      </c>
      <c r="O11" s="60">
        <f>IF(A11="","",VLOOKUP(E11,Inventory_Live!$A$2:$M$201,4,FALSE))</f>
        <v/>
      </c>
      <c r="P11" s="60">
        <f>IF(A11="","",VLOOKUP(E11,Inventory_Live!$A$2:$M$201,5,FALSE))</f>
        <v/>
      </c>
      <c r="Q11" s="60">
        <f>IF(A11="","",VLOOKUP(E11,Inventory_Live!$A$2:$M$201,6,FALSE))</f>
        <v/>
      </c>
    </row>
    <row r="12">
      <c r="A12" s="60">
        <f>IF(Catalog!N12&lt;&gt;"Yes","",Catalog!B12)</f>
        <v/>
      </c>
      <c r="B12" s="60">
        <f>IF(A12="","",Catalog!C12)</f>
        <v/>
      </c>
      <c r="C12" s="60">
        <f>IF(A12="","",Catalog!H12)</f>
        <v/>
      </c>
      <c r="D12" s="60">
        <f>IF(A12="","",Catalog!I12)</f>
        <v/>
      </c>
      <c r="E12" s="60">
        <f>IF(A12="","",Catalog!A12)</f>
        <v/>
      </c>
      <c r="F12" s="60">
        <f>IF(A12="","",Catalog!J12)</f>
        <v/>
      </c>
      <c r="G12" s="76">
        <f>IF(A12="","",Catalog!L12)</f>
        <v/>
      </c>
      <c r="H12" s="76">
        <f>IF(A12="","",Catalog!K12)</f>
        <v/>
      </c>
      <c r="I12" s="60">
        <f>IF(A12="","",Catalog!F12)</f>
        <v/>
      </c>
      <c r="J12" s="60">
        <f>IF(A12="","",Catalog!G12)</f>
        <v/>
      </c>
      <c r="K12" s="60">
        <f>IF(A12="","","TRUE")</f>
        <v/>
      </c>
      <c r="L12" s="60">
        <f>IF(A12="","","shopify")</f>
        <v/>
      </c>
      <c r="M12" s="60">
        <f>IF(A12="","","deny")</f>
        <v/>
      </c>
      <c r="N12" s="60">
        <f>IF(A12="","","active")</f>
        <v/>
      </c>
      <c r="O12" s="60">
        <f>IF(A12="","",VLOOKUP(E12,Inventory_Live!$A$2:$M$201,4,FALSE))</f>
        <v/>
      </c>
      <c r="P12" s="60">
        <f>IF(A12="","",VLOOKUP(E12,Inventory_Live!$A$2:$M$201,5,FALSE))</f>
        <v/>
      </c>
      <c r="Q12" s="60">
        <f>IF(A12="","",VLOOKUP(E12,Inventory_Live!$A$2:$M$201,6,FALSE))</f>
        <v/>
      </c>
    </row>
    <row r="13">
      <c r="A13" s="60">
        <f>IF(Catalog!N13&lt;&gt;"Yes","",Catalog!B13)</f>
        <v/>
      </c>
      <c r="B13" s="60">
        <f>IF(A13="","",Catalog!C13)</f>
        <v/>
      </c>
      <c r="C13" s="60">
        <f>IF(A13="","",Catalog!H13)</f>
        <v/>
      </c>
      <c r="D13" s="60">
        <f>IF(A13="","",Catalog!I13)</f>
        <v/>
      </c>
      <c r="E13" s="60">
        <f>IF(A13="","",Catalog!A13)</f>
        <v/>
      </c>
      <c r="F13" s="60">
        <f>IF(A13="","",Catalog!J13)</f>
        <v/>
      </c>
      <c r="G13" s="76">
        <f>IF(A13="","",Catalog!L13)</f>
        <v/>
      </c>
      <c r="H13" s="76">
        <f>IF(A13="","",Catalog!K13)</f>
        <v/>
      </c>
      <c r="I13" s="60">
        <f>IF(A13="","",Catalog!F13)</f>
        <v/>
      </c>
      <c r="J13" s="60">
        <f>IF(A13="","",Catalog!G13)</f>
        <v/>
      </c>
      <c r="K13" s="60">
        <f>IF(A13="","","TRUE")</f>
        <v/>
      </c>
      <c r="L13" s="60">
        <f>IF(A13="","","shopify")</f>
        <v/>
      </c>
      <c r="M13" s="60">
        <f>IF(A13="","","deny")</f>
        <v/>
      </c>
      <c r="N13" s="60">
        <f>IF(A13="","","active")</f>
        <v/>
      </c>
      <c r="O13" s="60">
        <f>IF(A13="","",VLOOKUP(E13,Inventory_Live!$A$2:$M$201,4,FALSE))</f>
        <v/>
      </c>
      <c r="P13" s="60">
        <f>IF(A13="","",VLOOKUP(E13,Inventory_Live!$A$2:$M$201,5,FALSE))</f>
        <v/>
      </c>
      <c r="Q13" s="60">
        <f>IF(A13="","",VLOOKUP(E13,Inventory_Live!$A$2:$M$201,6,FALSE))</f>
        <v/>
      </c>
    </row>
    <row r="14">
      <c r="A14" s="60">
        <f>IF(Catalog!N14&lt;&gt;"Yes","",Catalog!B14)</f>
        <v/>
      </c>
      <c r="B14" s="60">
        <f>IF(A14="","",Catalog!C14)</f>
        <v/>
      </c>
      <c r="C14" s="60">
        <f>IF(A14="","",Catalog!H14)</f>
        <v/>
      </c>
      <c r="D14" s="60">
        <f>IF(A14="","",Catalog!I14)</f>
        <v/>
      </c>
      <c r="E14" s="60">
        <f>IF(A14="","",Catalog!A14)</f>
        <v/>
      </c>
      <c r="F14" s="60">
        <f>IF(A14="","",Catalog!J14)</f>
        <v/>
      </c>
      <c r="G14" s="76">
        <f>IF(A14="","",Catalog!L14)</f>
        <v/>
      </c>
      <c r="H14" s="76">
        <f>IF(A14="","",Catalog!K14)</f>
        <v/>
      </c>
      <c r="I14" s="60">
        <f>IF(A14="","",Catalog!F14)</f>
        <v/>
      </c>
      <c r="J14" s="60">
        <f>IF(A14="","",Catalog!G14)</f>
        <v/>
      </c>
      <c r="K14" s="60">
        <f>IF(A14="","","TRUE")</f>
        <v/>
      </c>
      <c r="L14" s="60">
        <f>IF(A14="","","shopify")</f>
        <v/>
      </c>
      <c r="M14" s="60">
        <f>IF(A14="","","deny")</f>
        <v/>
      </c>
      <c r="N14" s="60">
        <f>IF(A14="","","active")</f>
        <v/>
      </c>
      <c r="O14" s="60">
        <f>IF(A14="","",VLOOKUP(E14,Inventory_Live!$A$2:$M$201,4,FALSE))</f>
        <v/>
      </c>
      <c r="P14" s="60">
        <f>IF(A14="","",VLOOKUP(E14,Inventory_Live!$A$2:$M$201,5,FALSE))</f>
        <v/>
      </c>
      <c r="Q14" s="60">
        <f>IF(A14="","",VLOOKUP(E14,Inventory_Live!$A$2:$M$201,6,FALSE))</f>
        <v/>
      </c>
    </row>
    <row r="15">
      <c r="A15" s="60">
        <f>IF(Catalog!N15&lt;&gt;"Yes","",Catalog!B15)</f>
        <v/>
      </c>
      <c r="B15" s="60">
        <f>IF(A15="","",Catalog!C15)</f>
        <v/>
      </c>
      <c r="C15" s="60">
        <f>IF(A15="","",Catalog!H15)</f>
        <v/>
      </c>
      <c r="D15" s="60">
        <f>IF(A15="","",Catalog!I15)</f>
        <v/>
      </c>
      <c r="E15" s="60">
        <f>IF(A15="","",Catalog!A15)</f>
        <v/>
      </c>
      <c r="F15" s="60">
        <f>IF(A15="","",Catalog!J15)</f>
        <v/>
      </c>
      <c r="G15" s="76">
        <f>IF(A15="","",Catalog!L15)</f>
        <v/>
      </c>
      <c r="H15" s="76">
        <f>IF(A15="","",Catalog!K15)</f>
        <v/>
      </c>
      <c r="I15" s="60">
        <f>IF(A15="","",Catalog!F15)</f>
        <v/>
      </c>
      <c r="J15" s="60">
        <f>IF(A15="","",Catalog!G15)</f>
        <v/>
      </c>
      <c r="K15" s="60">
        <f>IF(A15="","","TRUE")</f>
        <v/>
      </c>
      <c r="L15" s="60">
        <f>IF(A15="","","shopify")</f>
        <v/>
      </c>
      <c r="M15" s="60">
        <f>IF(A15="","","deny")</f>
        <v/>
      </c>
      <c r="N15" s="60">
        <f>IF(A15="","","active")</f>
        <v/>
      </c>
      <c r="O15" s="60">
        <f>IF(A15="","",VLOOKUP(E15,Inventory_Live!$A$2:$M$201,4,FALSE))</f>
        <v/>
      </c>
      <c r="P15" s="60">
        <f>IF(A15="","",VLOOKUP(E15,Inventory_Live!$A$2:$M$201,5,FALSE))</f>
        <v/>
      </c>
      <c r="Q15" s="60">
        <f>IF(A15="","",VLOOKUP(E15,Inventory_Live!$A$2:$M$201,6,FALSE))</f>
        <v/>
      </c>
    </row>
    <row r="16">
      <c r="A16" s="60">
        <f>IF(Catalog!N16&lt;&gt;"Yes","",Catalog!B16)</f>
        <v/>
      </c>
      <c r="B16" s="60">
        <f>IF(A16="","",Catalog!C16)</f>
        <v/>
      </c>
      <c r="C16" s="60">
        <f>IF(A16="","",Catalog!H16)</f>
        <v/>
      </c>
      <c r="D16" s="60">
        <f>IF(A16="","",Catalog!I16)</f>
        <v/>
      </c>
      <c r="E16" s="60">
        <f>IF(A16="","",Catalog!A16)</f>
        <v/>
      </c>
      <c r="F16" s="60">
        <f>IF(A16="","",Catalog!J16)</f>
        <v/>
      </c>
      <c r="G16" s="76">
        <f>IF(A16="","",Catalog!L16)</f>
        <v/>
      </c>
      <c r="H16" s="76">
        <f>IF(A16="","",Catalog!K16)</f>
        <v/>
      </c>
      <c r="I16" s="60">
        <f>IF(A16="","",Catalog!F16)</f>
        <v/>
      </c>
      <c r="J16" s="60">
        <f>IF(A16="","",Catalog!G16)</f>
        <v/>
      </c>
      <c r="K16" s="60">
        <f>IF(A16="","","TRUE")</f>
        <v/>
      </c>
      <c r="L16" s="60">
        <f>IF(A16="","","shopify")</f>
        <v/>
      </c>
      <c r="M16" s="60">
        <f>IF(A16="","","deny")</f>
        <v/>
      </c>
      <c r="N16" s="60">
        <f>IF(A16="","","active")</f>
        <v/>
      </c>
      <c r="O16" s="60">
        <f>IF(A16="","",VLOOKUP(E16,Inventory_Live!$A$2:$M$201,4,FALSE))</f>
        <v/>
      </c>
      <c r="P16" s="60">
        <f>IF(A16="","",VLOOKUP(E16,Inventory_Live!$A$2:$M$201,5,FALSE))</f>
        <v/>
      </c>
      <c r="Q16" s="60">
        <f>IF(A16="","",VLOOKUP(E16,Inventory_Live!$A$2:$M$201,6,FALSE))</f>
        <v/>
      </c>
    </row>
    <row r="17">
      <c r="A17" s="60">
        <f>IF(Catalog!N17&lt;&gt;"Yes","",Catalog!B17)</f>
        <v/>
      </c>
      <c r="B17" s="60">
        <f>IF(A17="","",Catalog!C17)</f>
        <v/>
      </c>
      <c r="C17" s="60">
        <f>IF(A17="","",Catalog!H17)</f>
        <v/>
      </c>
      <c r="D17" s="60">
        <f>IF(A17="","",Catalog!I17)</f>
        <v/>
      </c>
      <c r="E17" s="60">
        <f>IF(A17="","",Catalog!A17)</f>
        <v/>
      </c>
      <c r="F17" s="60">
        <f>IF(A17="","",Catalog!J17)</f>
        <v/>
      </c>
      <c r="G17" s="76">
        <f>IF(A17="","",Catalog!L17)</f>
        <v/>
      </c>
      <c r="H17" s="76">
        <f>IF(A17="","",Catalog!K17)</f>
        <v/>
      </c>
      <c r="I17" s="60">
        <f>IF(A17="","",Catalog!F17)</f>
        <v/>
      </c>
      <c r="J17" s="60">
        <f>IF(A17="","",Catalog!G17)</f>
        <v/>
      </c>
      <c r="K17" s="60">
        <f>IF(A17="","","TRUE")</f>
        <v/>
      </c>
      <c r="L17" s="60">
        <f>IF(A17="","","shopify")</f>
        <v/>
      </c>
      <c r="M17" s="60">
        <f>IF(A17="","","deny")</f>
        <v/>
      </c>
      <c r="N17" s="60">
        <f>IF(A17="","","active")</f>
        <v/>
      </c>
      <c r="O17" s="60">
        <f>IF(A17="","",VLOOKUP(E17,Inventory_Live!$A$2:$M$201,4,FALSE))</f>
        <v/>
      </c>
      <c r="P17" s="60">
        <f>IF(A17="","",VLOOKUP(E17,Inventory_Live!$A$2:$M$201,5,FALSE))</f>
        <v/>
      </c>
      <c r="Q17" s="60">
        <f>IF(A17="","",VLOOKUP(E17,Inventory_Live!$A$2:$M$201,6,FALSE))</f>
        <v/>
      </c>
    </row>
    <row r="18">
      <c r="A18" s="60">
        <f>IF(Catalog!N18&lt;&gt;"Yes","",Catalog!B18)</f>
        <v/>
      </c>
      <c r="B18" s="60">
        <f>IF(A18="","",Catalog!C18)</f>
        <v/>
      </c>
      <c r="C18" s="60">
        <f>IF(A18="","",Catalog!H18)</f>
        <v/>
      </c>
      <c r="D18" s="60">
        <f>IF(A18="","",Catalog!I18)</f>
        <v/>
      </c>
      <c r="E18" s="60">
        <f>IF(A18="","",Catalog!A18)</f>
        <v/>
      </c>
      <c r="F18" s="60">
        <f>IF(A18="","",Catalog!J18)</f>
        <v/>
      </c>
      <c r="G18" s="76">
        <f>IF(A18="","",Catalog!L18)</f>
        <v/>
      </c>
      <c r="H18" s="76">
        <f>IF(A18="","",Catalog!K18)</f>
        <v/>
      </c>
      <c r="I18" s="60">
        <f>IF(A18="","",Catalog!F18)</f>
        <v/>
      </c>
      <c r="J18" s="60">
        <f>IF(A18="","",Catalog!G18)</f>
        <v/>
      </c>
      <c r="K18" s="60">
        <f>IF(A18="","","TRUE")</f>
        <v/>
      </c>
      <c r="L18" s="60">
        <f>IF(A18="","","shopify")</f>
        <v/>
      </c>
      <c r="M18" s="60">
        <f>IF(A18="","","deny")</f>
        <v/>
      </c>
      <c r="N18" s="60">
        <f>IF(A18="","","active")</f>
        <v/>
      </c>
      <c r="O18" s="60">
        <f>IF(A18="","",VLOOKUP(E18,Inventory_Live!$A$2:$M$201,4,FALSE))</f>
        <v/>
      </c>
      <c r="P18" s="60">
        <f>IF(A18="","",VLOOKUP(E18,Inventory_Live!$A$2:$M$201,5,FALSE))</f>
        <v/>
      </c>
      <c r="Q18" s="60">
        <f>IF(A18="","",VLOOKUP(E18,Inventory_Live!$A$2:$M$201,6,FALSE))</f>
        <v/>
      </c>
    </row>
    <row r="19">
      <c r="A19" s="60">
        <f>IF(Catalog!N19&lt;&gt;"Yes","",Catalog!B19)</f>
        <v/>
      </c>
      <c r="B19" s="60">
        <f>IF(A19="","",Catalog!C19)</f>
        <v/>
      </c>
      <c r="C19" s="60">
        <f>IF(A19="","",Catalog!H19)</f>
        <v/>
      </c>
      <c r="D19" s="60">
        <f>IF(A19="","",Catalog!I19)</f>
        <v/>
      </c>
      <c r="E19" s="60">
        <f>IF(A19="","",Catalog!A19)</f>
        <v/>
      </c>
      <c r="F19" s="60">
        <f>IF(A19="","",Catalog!J19)</f>
        <v/>
      </c>
      <c r="G19" s="76">
        <f>IF(A19="","",Catalog!L19)</f>
        <v/>
      </c>
      <c r="H19" s="76">
        <f>IF(A19="","",Catalog!K19)</f>
        <v/>
      </c>
      <c r="I19" s="60">
        <f>IF(A19="","",Catalog!F19)</f>
        <v/>
      </c>
      <c r="J19" s="60">
        <f>IF(A19="","",Catalog!G19)</f>
        <v/>
      </c>
      <c r="K19" s="60">
        <f>IF(A19="","","TRUE")</f>
        <v/>
      </c>
      <c r="L19" s="60">
        <f>IF(A19="","","shopify")</f>
        <v/>
      </c>
      <c r="M19" s="60">
        <f>IF(A19="","","deny")</f>
        <v/>
      </c>
      <c r="N19" s="60">
        <f>IF(A19="","","active")</f>
        <v/>
      </c>
      <c r="O19" s="60">
        <f>IF(A19="","",VLOOKUP(E19,Inventory_Live!$A$2:$M$201,4,FALSE))</f>
        <v/>
      </c>
      <c r="P19" s="60">
        <f>IF(A19="","",VLOOKUP(E19,Inventory_Live!$A$2:$M$201,5,FALSE))</f>
        <v/>
      </c>
      <c r="Q19" s="60">
        <f>IF(A19="","",VLOOKUP(E19,Inventory_Live!$A$2:$M$201,6,FALSE))</f>
        <v/>
      </c>
    </row>
    <row r="20">
      <c r="A20" s="60">
        <f>IF(Catalog!N20&lt;&gt;"Yes","",Catalog!B20)</f>
        <v/>
      </c>
      <c r="B20" s="60">
        <f>IF(A20="","",Catalog!C20)</f>
        <v/>
      </c>
      <c r="C20" s="60">
        <f>IF(A20="","",Catalog!H20)</f>
        <v/>
      </c>
      <c r="D20" s="60">
        <f>IF(A20="","",Catalog!I20)</f>
        <v/>
      </c>
      <c r="E20" s="60">
        <f>IF(A20="","",Catalog!A20)</f>
        <v/>
      </c>
      <c r="F20" s="60">
        <f>IF(A20="","",Catalog!J20)</f>
        <v/>
      </c>
      <c r="G20" s="76">
        <f>IF(A20="","",Catalog!L20)</f>
        <v/>
      </c>
      <c r="H20" s="76">
        <f>IF(A20="","",Catalog!K20)</f>
        <v/>
      </c>
      <c r="I20" s="60">
        <f>IF(A20="","",Catalog!F20)</f>
        <v/>
      </c>
      <c r="J20" s="60">
        <f>IF(A20="","",Catalog!G20)</f>
        <v/>
      </c>
      <c r="K20" s="60">
        <f>IF(A20="","","TRUE")</f>
        <v/>
      </c>
      <c r="L20" s="60">
        <f>IF(A20="","","shopify")</f>
        <v/>
      </c>
      <c r="M20" s="60">
        <f>IF(A20="","","deny")</f>
        <v/>
      </c>
      <c r="N20" s="60">
        <f>IF(A20="","","active")</f>
        <v/>
      </c>
      <c r="O20" s="60">
        <f>IF(A20="","",VLOOKUP(E20,Inventory_Live!$A$2:$M$201,4,FALSE))</f>
        <v/>
      </c>
      <c r="P20" s="60">
        <f>IF(A20="","",VLOOKUP(E20,Inventory_Live!$A$2:$M$201,5,FALSE))</f>
        <v/>
      </c>
      <c r="Q20" s="60">
        <f>IF(A20="","",VLOOKUP(E20,Inventory_Live!$A$2:$M$201,6,FALSE))</f>
        <v/>
      </c>
    </row>
    <row r="21">
      <c r="A21" s="60">
        <f>IF(Catalog!N21&lt;&gt;"Yes","",Catalog!B21)</f>
        <v/>
      </c>
      <c r="B21" s="60">
        <f>IF(A21="","",Catalog!C21)</f>
        <v/>
      </c>
      <c r="C21" s="60">
        <f>IF(A21="","",Catalog!H21)</f>
        <v/>
      </c>
      <c r="D21" s="60">
        <f>IF(A21="","",Catalog!I21)</f>
        <v/>
      </c>
      <c r="E21" s="60">
        <f>IF(A21="","",Catalog!A21)</f>
        <v/>
      </c>
      <c r="F21" s="60">
        <f>IF(A21="","",Catalog!J21)</f>
        <v/>
      </c>
      <c r="G21" s="76">
        <f>IF(A21="","",Catalog!L21)</f>
        <v/>
      </c>
      <c r="H21" s="76">
        <f>IF(A21="","",Catalog!K21)</f>
        <v/>
      </c>
      <c r="I21" s="60">
        <f>IF(A21="","",Catalog!F21)</f>
        <v/>
      </c>
      <c r="J21" s="60">
        <f>IF(A21="","",Catalog!G21)</f>
        <v/>
      </c>
      <c r="K21" s="60">
        <f>IF(A21="","","TRUE")</f>
        <v/>
      </c>
      <c r="L21" s="60">
        <f>IF(A21="","","shopify")</f>
        <v/>
      </c>
      <c r="M21" s="60">
        <f>IF(A21="","","deny")</f>
        <v/>
      </c>
      <c r="N21" s="60">
        <f>IF(A21="","","active")</f>
        <v/>
      </c>
      <c r="O21" s="60">
        <f>IF(A21="","",VLOOKUP(E21,Inventory_Live!$A$2:$M$201,4,FALSE))</f>
        <v/>
      </c>
      <c r="P21" s="60">
        <f>IF(A21="","",VLOOKUP(E21,Inventory_Live!$A$2:$M$201,5,FALSE))</f>
        <v/>
      </c>
      <c r="Q21" s="60">
        <f>IF(A21="","",VLOOKUP(E21,Inventory_Live!$A$2:$M$201,6,FALSE))</f>
        <v/>
      </c>
    </row>
    <row r="22">
      <c r="A22" s="60">
        <f>IF(Catalog!N22&lt;&gt;"Yes","",Catalog!B22)</f>
        <v/>
      </c>
      <c r="B22" s="60">
        <f>IF(A22="","",Catalog!C22)</f>
        <v/>
      </c>
      <c r="C22" s="60">
        <f>IF(A22="","",Catalog!H22)</f>
        <v/>
      </c>
      <c r="D22" s="60">
        <f>IF(A22="","",Catalog!I22)</f>
        <v/>
      </c>
      <c r="E22" s="60">
        <f>IF(A22="","",Catalog!A22)</f>
        <v/>
      </c>
      <c r="F22" s="60">
        <f>IF(A22="","",Catalog!J22)</f>
        <v/>
      </c>
      <c r="G22" s="76">
        <f>IF(A22="","",Catalog!L22)</f>
        <v/>
      </c>
      <c r="H22" s="76">
        <f>IF(A22="","",Catalog!K22)</f>
        <v/>
      </c>
      <c r="I22" s="60">
        <f>IF(A22="","",Catalog!F22)</f>
        <v/>
      </c>
      <c r="J22" s="60">
        <f>IF(A22="","",Catalog!G22)</f>
        <v/>
      </c>
      <c r="K22" s="60">
        <f>IF(A22="","","TRUE")</f>
        <v/>
      </c>
      <c r="L22" s="60">
        <f>IF(A22="","","shopify")</f>
        <v/>
      </c>
      <c r="M22" s="60">
        <f>IF(A22="","","deny")</f>
        <v/>
      </c>
      <c r="N22" s="60">
        <f>IF(A22="","","active")</f>
        <v/>
      </c>
      <c r="O22" s="60">
        <f>IF(A22="","",VLOOKUP(E22,Inventory_Live!$A$2:$M$201,4,FALSE))</f>
        <v/>
      </c>
      <c r="P22" s="60">
        <f>IF(A22="","",VLOOKUP(E22,Inventory_Live!$A$2:$M$201,5,FALSE))</f>
        <v/>
      </c>
      <c r="Q22" s="60">
        <f>IF(A22="","",VLOOKUP(E22,Inventory_Live!$A$2:$M$201,6,FALSE))</f>
        <v/>
      </c>
    </row>
    <row r="23">
      <c r="A23" s="60">
        <f>IF(Catalog!N23&lt;&gt;"Yes","",Catalog!B23)</f>
        <v/>
      </c>
      <c r="B23" s="60">
        <f>IF(A23="","",Catalog!C23)</f>
        <v/>
      </c>
      <c r="C23" s="60">
        <f>IF(A23="","",Catalog!H23)</f>
        <v/>
      </c>
      <c r="D23" s="60">
        <f>IF(A23="","",Catalog!I23)</f>
        <v/>
      </c>
      <c r="E23" s="60">
        <f>IF(A23="","",Catalog!A23)</f>
        <v/>
      </c>
      <c r="F23" s="60">
        <f>IF(A23="","",Catalog!J23)</f>
        <v/>
      </c>
      <c r="G23" s="76">
        <f>IF(A23="","",Catalog!L23)</f>
        <v/>
      </c>
      <c r="H23" s="76">
        <f>IF(A23="","",Catalog!K23)</f>
        <v/>
      </c>
      <c r="I23" s="60">
        <f>IF(A23="","",Catalog!F23)</f>
        <v/>
      </c>
      <c r="J23" s="60">
        <f>IF(A23="","",Catalog!G23)</f>
        <v/>
      </c>
      <c r="K23" s="60">
        <f>IF(A23="","","TRUE")</f>
        <v/>
      </c>
      <c r="L23" s="60">
        <f>IF(A23="","","shopify")</f>
        <v/>
      </c>
      <c r="M23" s="60">
        <f>IF(A23="","","deny")</f>
        <v/>
      </c>
      <c r="N23" s="60">
        <f>IF(A23="","","active")</f>
        <v/>
      </c>
      <c r="O23" s="60">
        <f>IF(A23="","",VLOOKUP(E23,Inventory_Live!$A$2:$M$201,4,FALSE))</f>
        <v/>
      </c>
      <c r="P23" s="60">
        <f>IF(A23="","",VLOOKUP(E23,Inventory_Live!$A$2:$M$201,5,FALSE))</f>
        <v/>
      </c>
      <c r="Q23" s="60">
        <f>IF(A23="","",VLOOKUP(E23,Inventory_Live!$A$2:$M$201,6,FALSE))</f>
        <v/>
      </c>
    </row>
    <row r="24">
      <c r="A24" s="60">
        <f>IF(Catalog!N24&lt;&gt;"Yes","",Catalog!B24)</f>
        <v/>
      </c>
      <c r="B24" s="60">
        <f>IF(A24="","",Catalog!C24)</f>
        <v/>
      </c>
      <c r="C24" s="60">
        <f>IF(A24="","",Catalog!H24)</f>
        <v/>
      </c>
      <c r="D24" s="60">
        <f>IF(A24="","",Catalog!I24)</f>
        <v/>
      </c>
      <c r="E24" s="60">
        <f>IF(A24="","",Catalog!A24)</f>
        <v/>
      </c>
      <c r="F24" s="60">
        <f>IF(A24="","",Catalog!J24)</f>
        <v/>
      </c>
      <c r="G24" s="76">
        <f>IF(A24="","",Catalog!L24)</f>
        <v/>
      </c>
      <c r="H24" s="76">
        <f>IF(A24="","",Catalog!K24)</f>
        <v/>
      </c>
      <c r="I24" s="60">
        <f>IF(A24="","",Catalog!F24)</f>
        <v/>
      </c>
      <c r="J24" s="60">
        <f>IF(A24="","",Catalog!G24)</f>
        <v/>
      </c>
      <c r="K24" s="60">
        <f>IF(A24="","","TRUE")</f>
        <v/>
      </c>
      <c r="L24" s="60">
        <f>IF(A24="","","shopify")</f>
        <v/>
      </c>
      <c r="M24" s="60">
        <f>IF(A24="","","deny")</f>
        <v/>
      </c>
      <c r="N24" s="60">
        <f>IF(A24="","","active")</f>
        <v/>
      </c>
      <c r="O24" s="60">
        <f>IF(A24="","",VLOOKUP(E24,Inventory_Live!$A$2:$M$201,4,FALSE))</f>
        <v/>
      </c>
      <c r="P24" s="60">
        <f>IF(A24="","",VLOOKUP(E24,Inventory_Live!$A$2:$M$201,5,FALSE))</f>
        <v/>
      </c>
      <c r="Q24" s="60">
        <f>IF(A24="","",VLOOKUP(E24,Inventory_Live!$A$2:$M$201,6,FALSE))</f>
        <v/>
      </c>
    </row>
    <row r="25">
      <c r="A25" s="60">
        <f>IF(Catalog!N25&lt;&gt;"Yes","",Catalog!B25)</f>
        <v/>
      </c>
      <c r="B25" s="60">
        <f>IF(A25="","",Catalog!C25)</f>
        <v/>
      </c>
      <c r="C25" s="60">
        <f>IF(A25="","",Catalog!H25)</f>
        <v/>
      </c>
      <c r="D25" s="60">
        <f>IF(A25="","",Catalog!I25)</f>
        <v/>
      </c>
      <c r="E25" s="60">
        <f>IF(A25="","",Catalog!A25)</f>
        <v/>
      </c>
      <c r="F25" s="60">
        <f>IF(A25="","",Catalog!J25)</f>
        <v/>
      </c>
      <c r="G25" s="76">
        <f>IF(A25="","",Catalog!L25)</f>
        <v/>
      </c>
      <c r="H25" s="76">
        <f>IF(A25="","",Catalog!K25)</f>
        <v/>
      </c>
      <c r="I25" s="60">
        <f>IF(A25="","",Catalog!F25)</f>
        <v/>
      </c>
      <c r="J25" s="60">
        <f>IF(A25="","",Catalog!G25)</f>
        <v/>
      </c>
      <c r="K25" s="60">
        <f>IF(A25="","","TRUE")</f>
        <v/>
      </c>
      <c r="L25" s="60">
        <f>IF(A25="","","shopify")</f>
        <v/>
      </c>
      <c r="M25" s="60">
        <f>IF(A25="","","deny")</f>
        <v/>
      </c>
      <c r="N25" s="60">
        <f>IF(A25="","","active")</f>
        <v/>
      </c>
      <c r="O25" s="60">
        <f>IF(A25="","",VLOOKUP(E25,Inventory_Live!$A$2:$M$201,4,FALSE))</f>
        <v/>
      </c>
      <c r="P25" s="60">
        <f>IF(A25="","",VLOOKUP(E25,Inventory_Live!$A$2:$M$201,5,FALSE))</f>
        <v/>
      </c>
      <c r="Q25" s="60">
        <f>IF(A25="","",VLOOKUP(E25,Inventory_Live!$A$2:$M$201,6,FALSE))</f>
        <v/>
      </c>
    </row>
    <row r="26">
      <c r="A26" s="60">
        <f>IF(Catalog!N26&lt;&gt;"Yes","",Catalog!B26)</f>
        <v/>
      </c>
      <c r="B26" s="60">
        <f>IF(A26="","",Catalog!C26)</f>
        <v/>
      </c>
      <c r="C26" s="60">
        <f>IF(A26="","",Catalog!H26)</f>
        <v/>
      </c>
      <c r="D26" s="60">
        <f>IF(A26="","",Catalog!I26)</f>
        <v/>
      </c>
      <c r="E26" s="60">
        <f>IF(A26="","",Catalog!A26)</f>
        <v/>
      </c>
      <c r="F26" s="60">
        <f>IF(A26="","",Catalog!J26)</f>
        <v/>
      </c>
      <c r="G26" s="76">
        <f>IF(A26="","",Catalog!L26)</f>
        <v/>
      </c>
      <c r="H26" s="76">
        <f>IF(A26="","",Catalog!K26)</f>
        <v/>
      </c>
      <c r="I26" s="60">
        <f>IF(A26="","",Catalog!F26)</f>
        <v/>
      </c>
      <c r="J26" s="60">
        <f>IF(A26="","",Catalog!G26)</f>
        <v/>
      </c>
      <c r="K26" s="60">
        <f>IF(A26="","","TRUE")</f>
        <v/>
      </c>
      <c r="L26" s="60">
        <f>IF(A26="","","shopify")</f>
        <v/>
      </c>
      <c r="M26" s="60">
        <f>IF(A26="","","deny")</f>
        <v/>
      </c>
      <c r="N26" s="60">
        <f>IF(A26="","","active")</f>
        <v/>
      </c>
      <c r="O26" s="60">
        <f>IF(A26="","",VLOOKUP(E26,Inventory_Live!$A$2:$M$201,4,FALSE))</f>
        <v/>
      </c>
      <c r="P26" s="60">
        <f>IF(A26="","",VLOOKUP(E26,Inventory_Live!$A$2:$M$201,5,FALSE))</f>
        <v/>
      </c>
      <c r="Q26" s="60">
        <f>IF(A26="","",VLOOKUP(E26,Inventory_Live!$A$2:$M$201,6,FALSE))</f>
        <v/>
      </c>
    </row>
    <row r="27">
      <c r="A27" s="60">
        <f>IF(Catalog!N27&lt;&gt;"Yes","",Catalog!B27)</f>
        <v/>
      </c>
      <c r="B27" s="60">
        <f>IF(A27="","",Catalog!C27)</f>
        <v/>
      </c>
      <c r="C27" s="60">
        <f>IF(A27="","",Catalog!H27)</f>
        <v/>
      </c>
      <c r="D27" s="60">
        <f>IF(A27="","",Catalog!I27)</f>
        <v/>
      </c>
      <c r="E27" s="60">
        <f>IF(A27="","",Catalog!A27)</f>
        <v/>
      </c>
      <c r="F27" s="60">
        <f>IF(A27="","",Catalog!J27)</f>
        <v/>
      </c>
      <c r="G27" s="76">
        <f>IF(A27="","",Catalog!L27)</f>
        <v/>
      </c>
      <c r="H27" s="76">
        <f>IF(A27="","",Catalog!K27)</f>
        <v/>
      </c>
      <c r="I27" s="60">
        <f>IF(A27="","",Catalog!F27)</f>
        <v/>
      </c>
      <c r="J27" s="60">
        <f>IF(A27="","",Catalog!G27)</f>
        <v/>
      </c>
      <c r="K27" s="60">
        <f>IF(A27="","","TRUE")</f>
        <v/>
      </c>
      <c r="L27" s="60">
        <f>IF(A27="","","shopify")</f>
        <v/>
      </c>
      <c r="M27" s="60">
        <f>IF(A27="","","deny")</f>
        <v/>
      </c>
      <c r="N27" s="60">
        <f>IF(A27="","","active")</f>
        <v/>
      </c>
      <c r="O27" s="60">
        <f>IF(A27="","",VLOOKUP(E27,Inventory_Live!$A$2:$M$201,4,FALSE))</f>
        <v/>
      </c>
      <c r="P27" s="60">
        <f>IF(A27="","",VLOOKUP(E27,Inventory_Live!$A$2:$M$201,5,FALSE))</f>
        <v/>
      </c>
      <c r="Q27" s="60">
        <f>IF(A27="","",VLOOKUP(E27,Inventory_Live!$A$2:$M$201,6,FALSE))</f>
        <v/>
      </c>
    </row>
    <row r="28">
      <c r="A28" s="60">
        <f>IF(Catalog!N28&lt;&gt;"Yes","",Catalog!B28)</f>
        <v/>
      </c>
      <c r="B28" s="60">
        <f>IF(A28="","",Catalog!C28)</f>
        <v/>
      </c>
      <c r="C28" s="60">
        <f>IF(A28="","",Catalog!H28)</f>
        <v/>
      </c>
      <c r="D28" s="60">
        <f>IF(A28="","",Catalog!I28)</f>
        <v/>
      </c>
      <c r="E28" s="60">
        <f>IF(A28="","",Catalog!A28)</f>
        <v/>
      </c>
      <c r="F28" s="60">
        <f>IF(A28="","",Catalog!J28)</f>
        <v/>
      </c>
      <c r="G28" s="76">
        <f>IF(A28="","",Catalog!L28)</f>
        <v/>
      </c>
      <c r="H28" s="76">
        <f>IF(A28="","",Catalog!K28)</f>
        <v/>
      </c>
      <c r="I28" s="60">
        <f>IF(A28="","",Catalog!F28)</f>
        <v/>
      </c>
      <c r="J28" s="60">
        <f>IF(A28="","",Catalog!G28)</f>
        <v/>
      </c>
      <c r="K28" s="60">
        <f>IF(A28="","","TRUE")</f>
        <v/>
      </c>
      <c r="L28" s="60">
        <f>IF(A28="","","shopify")</f>
        <v/>
      </c>
      <c r="M28" s="60">
        <f>IF(A28="","","deny")</f>
        <v/>
      </c>
      <c r="N28" s="60">
        <f>IF(A28="","","active")</f>
        <v/>
      </c>
      <c r="O28" s="60">
        <f>IF(A28="","",VLOOKUP(E28,Inventory_Live!$A$2:$M$201,4,FALSE))</f>
        <v/>
      </c>
      <c r="P28" s="60">
        <f>IF(A28="","",VLOOKUP(E28,Inventory_Live!$A$2:$M$201,5,FALSE))</f>
        <v/>
      </c>
      <c r="Q28" s="60">
        <f>IF(A28="","",VLOOKUP(E28,Inventory_Live!$A$2:$M$201,6,FALSE))</f>
        <v/>
      </c>
    </row>
    <row r="29">
      <c r="A29" s="60">
        <f>IF(Catalog!N29&lt;&gt;"Yes","",Catalog!B29)</f>
        <v/>
      </c>
      <c r="B29" s="60">
        <f>IF(A29="","",Catalog!C29)</f>
        <v/>
      </c>
      <c r="C29" s="60">
        <f>IF(A29="","",Catalog!H29)</f>
        <v/>
      </c>
      <c r="D29" s="60">
        <f>IF(A29="","",Catalog!I29)</f>
        <v/>
      </c>
      <c r="E29" s="60">
        <f>IF(A29="","",Catalog!A29)</f>
        <v/>
      </c>
      <c r="F29" s="60">
        <f>IF(A29="","",Catalog!J29)</f>
        <v/>
      </c>
      <c r="G29" s="76">
        <f>IF(A29="","",Catalog!L29)</f>
        <v/>
      </c>
      <c r="H29" s="76">
        <f>IF(A29="","",Catalog!K29)</f>
        <v/>
      </c>
      <c r="I29" s="60">
        <f>IF(A29="","",Catalog!F29)</f>
        <v/>
      </c>
      <c r="J29" s="60">
        <f>IF(A29="","",Catalog!G29)</f>
        <v/>
      </c>
      <c r="K29" s="60">
        <f>IF(A29="","","TRUE")</f>
        <v/>
      </c>
      <c r="L29" s="60">
        <f>IF(A29="","","shopify")</f>
        <v/>
      </c>
      <c r="M29" s="60">
        <f>IF(A29="","","deny")</f>
        <v/>
      </c>
      <c r="N29" s="60">
        <f>IF(A29="","","active")</f>
        <v/>
      </c>
      <c r="O29" s="60">
        <f>IF(A29="","",VLOOKUP(E29,Inventory_Live!$A$2:$M$201,4,FALSE))</f>
        <v/>
      </c>
      <c r="P29" s="60">
        <f>IF(A29="","",VLOOKUP(E29,Inventory_Live!$A$2:$M$201,5,FALSE))</f>
        <v/>
      </c>
      <c r="Q29" s="60">
        <f>IF(A29="","",VLOOKUP(E29,Inventory_Live!$A$2:$M$201,6,FALSE))</f>
        <v/>
      </c>
    </row>
    <row r="30">
      <c r="A30" s="60">
        <f>IF(Catalog!N30&lt;&gt;"Yes","",Catalog!B30)</f>
        <v/>
      </c>
      <c r="B30" s="60">
        <f>IF(A30="","",Catalog!C30)</f>
        <v/>
      </c>
      <c r="C30" s="60">
        <f>IF(A30="","",Catalog!H30)</f>
        <v/>
      </c>
      <c r="D30" s="60">
        <f>IF(A30="","",Catalog!I30)</f>
        <v/>
      </c>
      <c r="E30" s="60">
        <f>IF(A30="","",Catalog!A30)</f>
        <v/>
      </c>
      <c r="F30" s="60">
        <f>IF(A30="","",Catalog!J30)</f>
        <v/>
      </c>
      <c r="G30" s="76">
        <f>IF(A30="","",Catalog!L30)</f>
        <v/>
      </c>
      <c r="H30" s="76">
        <f>IF(A30="","",Catalog!K30)</f>
        <v/>
      </c>
      <c r="I30" s="60">
        <f>IF(A30="","",Catalog!F30)</f>
        <v/>
      </c>
      <c r="J30" s="60">
        <f>IF(A30="","",Catalog!G30)</f>
        <v/>
      </c>
      <c r="K30" s="60">
        <f>IF(A30="","","TRUE")</f>
        <v/>
      </c>
      <c r="L30" s="60">
        <f>IF(A30="","","shopify")</f>
        <v/>
      </c>
      <c r="M30" s="60">
        <f>IF(A30="","","deny")</f>
        <v/>
      </c>
      <c r="N30" s="60">
        <f>IF(A30="","","active")</f>
        <v/>
      </c>
      <c r="O30" s="60">
        <f>IF(A30="","",VLOOKUP(E30,Inventory_Live!$A$2:$M$201,4,FALSE))</f>
        <v/>
      </c>
      <c r="P30" s="60">
        <f>IF(A30="","",VLOOKUP(E30,Inventory_Live!$A$2:$M$201,5,FALSE))</f>
        <v/>
      </c>
      <c r="Q30" s="60">
        <f>IF(A30="","",VLOOKUP(E30,Inventory_Live!$A$2:$M$201,6,FALSE))</f>
        <v/>
      </c>
    </row>
    <row r="31">
      <c r="A31" s="60">
        <f>IF(Catalog!N31&lt;&gt;"Yes","",Catalog!B31)</f>
        <v/>
      </c>
      <c r="B31" s="60">
        <f>IF(A31="","",Catalog!C31)</f>
        <v/>
      </c>
      <c r="C31" s="60">
        <f>IF(A31="","",Catalog!H31)</f>
        <v/>
      </c>
      <c r="D31" s="60">
        <f>IF(A31="","",Catalog!I31)</f>
        <v/>
      </c>
      <c r="E31" s="60">
        <f>IF(A31="","",Catalog!A31)</f>
        <v/>
      </c>
      <c r="F31" s="60">
        <f>IF(A31="","",Catalog!J31)</f>
        <v/>
      </c>
      <c r="G31" s="76">
        <f>IF(A31="","",Catalog!L31)</f>
        <v/>
      </c>
      <c r="H31" s="76">
        <f>IF(A31="","",Catalog!K31)</f>
        <v/>
      </c>
      <c r="I31" s="60">
        <f>IF(A31="","",Catalog!F31)</f>
        <v/>
      </c>
      <c r="J31" s="60">
        <f>IF(A31="","",Catalog!G31)</f>
        <v/>
      </c>
      <c r="K31" s="60">
        <f>IF(A31="","","TRUE")</f>
        <v/>
      </c>
      <c r="L31" s="60">
        <f>IF(A31="","","shopify")</f>
        <v/>
      </c>
      <c r="M31" s="60">
        <f>IF(A31="","","deny")</f>
        <v/>
      </c>
      <c r="N31" s="60">
        <f>IF(A31="","","active")</f>
        <v/>
      </c>
      <c r="O31" s="60">
        <f>IF(A31="","",VLOOKUP(E31,Inventory_Live!$A$2:$M$201,4,FALSE))</f>
        <v/>
      </c>
      <c r="P31" s="60">
        <f>IF(A31="","",VLOOKUP(E31,Inventory_Live!$A$2:$M$201,5,FALSE))</f>
        <v/>
      </c>
      <c r="Q31" s="60">
        <f>IF(A31="","",VLOOKUP(E31,Inventory_Live!$A$2:$M$201,6,FALSE))</f>
        <v/>
      </c>
    </row>
    <row r="32">
      <c r="A32" s="60">
        <f>IF(Catalog!N32&lt;&gt;"Yes","",Catalog!B32)</f>
        <v/>
      </c>
      <c r="B32" s="60">
        <f>IF(A32="","",Catalog!C32)</f>
        <v/>
      </c>
      <c r="C32" s="60">
        <f>IF(A32="","",Catalog!H32)</f>
        <v/>
      </c>
      <c r="D32" s="60">
        <f>IF(A32="","",Catalog!I32)</f>
        <v/>
      </c>
      <c r="E32" s="60">
        <f>IF(A32="","",Catalog!A32)</f>
        <v/>
      </c>
      <c r="F32" s="60">
        <f>IF(A32="","",Catalog!J32)</f>
        <v/>
      </c>
      <c r="G32" s="76">
        <f>IF(A32="","",Catalog!L32)</f>
        <v/>
      </c>
      <c r="H32" s="76">
        <f>IF(A32="","",Catalog!K32)</f>
        <v/>
      </c>
      <c r="I32" s="60">
        <f>IF(A32="","",Catalog!F32)</f>
        <v/>
      </c>
      <c r="J32" s="60">
        <f>IF(A32="","",Catalog!G32)</f>
        <v/>
      </c>
      <c r="K32" s="60">
        <f>IF(A32="","","TRUE")</f>
        <v/>
      </c>
      <c r="L32" s="60">
        <f>IF(A32="","","shopify")</f>
        <v/>
      </c>
      <c r="M32" s="60">
        <f>IF(A32="","","deny")</f>
        <v/>
      </c>
      <c r="N32" s="60">
        <f>IF(A32="","","active")</f>
        <v/>
      </c>
      <c r="O32" s="60">
        <f>IF(A32="","",VLOOKUP(E32,Inventory_Live!$A$2:$M$201,4,FALSE))</f>
        <v/>
      </c>
      <c r="P32" s="60">
        <f>IF(A32="","",VLOOKUP(E32,Inventory_Live!$A$2:$M$201,5,FALSE))</f>
        <v/>
      </c>
      <c r="Q32" s="60">
        <f>IF(A32="","",VLOOKUP(E32,Inventory_Live!$A$2:$M$201,6,FALSE))</f>
        <v/>
      </c>
    </row>
    <row r="33">
      <c r="A33" s="60">
        <f>IF(Catalog!N33&lt;&gt;"Yes","",Catalog!B33)</f>
        <v/>
      </c>
      <c r="B33" s="60">
        <f>IF(A33="","",Catalog!C33)</f>
        <v/>
      </c>
      <c r="C33" s="60">
        <f>IF(A33="","",Catalog!H33)</f>
        <v/>
      </c>
      <c r="D33" s="60">
        <f>IF(A33="","",Catalog!I33)</f>
        <v/>
      </c>
      <c r="E33" s="60">
        <f>IF(A33="","",Catalog!A33)</f>
        <v/>
      </c>
      <c r="F33" s="60">
        <f>IF(A33="","",Catalog!J33)</f>
        <v/>
      </c>
      <c r="G33" s="76">
        <f>IF(A33="","",Catalog!L33)</f>
        <v/>
      </c>
      <c r="H33" s="76">
        <f>IF(A33="","",Catalog!K33)</f>
        <v/>
      </c>
      <c r="I33" s="60">
        <f>IF(A33="","",Catalog!F33)</f>
        <v/>
      </c>
      <c r="J33" s="60">
        <f>IF(A33="","",Catalog!G33)</f>
        <v/>
      </c>
      <c r="K33" s="60">
        <f>IF(A33="","","TRUE")</f>
        <v/>
      </c>
      <c r="L33" s="60">
        <f>IF(A33="","","shopify")</f>
        <v/>
      </c>
      <c r="M33" s="60">
        <f>IF(A33="","","deny")</f>
        <v/>
      </c>
      <c r="N33" s="60">
        <f>IF(A33="","","active")</f>
        <v/>
      </c>
      <c r="O33" s="60">
        <f>IF(A33="","",VLOOKUP(E33,Inventory_Live!$A$2:$M$201,4,FALSE))</f>
        <v/>
      </c>
      <c r="P33" s="60">
        <f>IF(A33="","",VLOOKUP(E33,Inventory_Live!$A$2:$M$201,5,FALSE))</f>
        <v/>
      </c>
      <c r="Q33" s="60">
        <f>IF(A33="","",VLOOKUP(E33,Inventory_Live!$A$2:$M$201,6,FALSE))</f>
        <v/>
      </c>
    </row>
    <row r="34">
      <c r="A34" s="60">
        <f>IF(Catalog!N34&lt;&gt;"Yes","",Catalog!B34)</f>
        <v/>
      </c>
      <c r="B34" s="60">
        <f>IF(A34="","",Catalog!C34)</f>
        <v/>
      </c>
      <c r="C34" s="60">
        <f>IF(A34="","",Catalog!H34)</f>
        <v/>
      </c>
      <c r="D34" s="60">
        <f>IF(A34="","",Catalog!I34)</f>
        <v/>
      </c>
      <c r="E34" s="60">
        <f>IF(A34="","",Catalog!A34)</f>
        <v/>
      </c>
      <c r="F34" s="60">
        <f>IF(A34="","",Catalog!J34)</f>
        <v/>
      </c>
      <c r="G34" s="76">
        <f>IF(A34="","",Catalog!L34)</f>
        <v/>
      </c>
      <c r="H34" s="76">
        <f>IF(A34="","",Catalog!K34)</f>
        <v/>
      </c>
      <c r="I34" s="60">
        <f>IF(A34="","",Catalog!F34)</f>
        <v/>
      </c>
      <c r="J34" s="60">
        <f>IF(A34="","",Catalog!G34)</f>
        <v/>
      </c>
      <c r="K34" s="60">
        <f>IF(A34="","","TRUE")</f>
        <v/>
      </c>
      <c r="L34" s="60">
        <f>IF(A34="","","shopify")</f>
        <v/>
      </c>
      <c r="M34" s="60">
        <f>IF(A34="","","deny")</f>
        <v/>
      </c>
      <c r="N34" s="60">
        <f>IF(A34="","","active")</f>
        <v/>
      </c>
      <c r="O34" s="60">
        <f>IF(A34="","",VLOOKUP(E34,Inventory_Live!$A$2:$M$201,4,FALSE))</f>
        <v/>
      </c>
      <c r="P34" s="60">
        <f>IF(A34="","",VLOOKUP(E34,Inventory_Live!$A$2:$M$201,5,FALSE))</f>
        <v/>
      </c>
      <c r="Q34" s="60">
        <f>IF(A34="","",VLOOKUP(E34,Inventory_Live!$A$2:$M$201,6,FALSE))</f>
        <v/>
      </c>
    </row>
    <row r="35">
      <c r="A35" s="60">
        <f>IF(Catalog!N35&lt;&gt;"Yes","",Catalog!B35)</f>
        <v/>
      </c>
      <c r="B35" s="60">
        <f>IF(A35="","",Catalog!C35)</f>
        <v/>
      </c>
      <c r="C35" s="60">
        <f>IF(A35="","",Catalog!H35)</f>
        <v/>
      </c>
      <c r="D35" s="60">
        <f>IF(A35="","",Catalog!I35)</f>
        <v/>
      </c>
      <c r="E35" s="60">
        <f>IF(A35="","",Catalog!A35)</f>
        <v/>
      </c>
      <c r="F35" s="60">
        <f>IF(A35="","",Catalog!J35)</f>
        <v/>
      </c>
      <c r="G35" s="76">
        <f>IF(A35="","",Catalog!L35)</f>
        <v/>
      </c>
      <c r="H35" s="76">
        <f>IF(A35="","",Catalog!K35)</f>
        <v/>
      </c>
      <c r="I35" s="60">
        <f>IF(A35="","",Catalog!F35)</f>
        <v/>
      </c>
      <c r="J35" s="60">
        <f>IF(A35="","",Catalog!G35)</f>
        <v/>
      </c>
      <c r="K35" s="60">
        <f>IF(A35="","","TRUE")</f>
        <v/>
      </c>
      <c r="L35" s="60">
        <f>IF(A35="","","shopify")</f>
        <v/>
      </c>
      <c r="M35" s="60">
        <f>IF(A35="","","deny")</f>
        <v/>
      </c>
      <c r="N35" s="60">
        <f>IF(A35="","","active")</f>
        <v/>
      </c>
      <c r="O35" s="60">
        <f>IF(A35="","",VLOOKUP(E35,Inventory_Live!$A$2:$M$201,4,FALSE))</f>
        <v/>
      </c>
      <c r="P35" s="60">
        <f>IF(A35="","",VLOOKUP(E35,Inventory_Live!$A$2:$M$201,5,FALSE))</f>
        <v/>
      </c>
      <c r="Q35" s="60">
        <f>IF(A35="","",VLOOKUP(E35,Inventory_Live!$A$2:$M$201,6,FALSE))</f>
        <v/>
      </c>
    </row>
    <row r="36">
      <c r="A36" s="60">
        <f>IF(Catalog!N36&lt;&gt;"Yes","",Catalog!B36)</f>
        <v/>
      </c>
      <c r="B36" s="60">
        <f>IF(A36="","",Catalog!C36)</f>
        <v/>
      </c>
      <c r="C36" s="60">
        <f>IF(A36="","",Catalog!H36)</f>
        <v/>
      </c>
      <c r="D36" s="60">
        <f>IF(A36="","",Catalog!I36)</f>
        <v/>
      </c>
      <c r="E36" s="60">
        <f>IF(A36="","",Catalog!A36)</f>
        <v/>
      </c>
      <c r="F36" s="60">
        <f>IF(A36="","",Catalog!J36)</f>
        <v/>
      </c>
      <c r="G36" s="76">
        <f>IF(A36="","",Catalog!L36)</f>
        <v/>
      </c>
      <c r="H36" s="76">
        <f>IF(A36="","",Catalog!K36)</f>
        <v/>
      </c>
      <c r="I36" s="60">
        <f>IF(A36="","",Catalog!F36)</f>
        <v/>
      </c>
      <c r="J36" s="60">
        <f>IF(A36="","",Catalog!G36)</f>
        <v/>
      </c>
      <c r="K36" s="60">
        <f>IF(A36="","","TRUE")</f>
        <v/>
      </c>
      <c r="L36" s="60">
        <f>IF(A36="","","shopify")</f>
        <v/>
      </c>
      <c r="M36" s="60">
        <f>IF(A36="","","deny")</f>
        <v/>
      </c>
      <c r="N36" s="60">
        <f>IF(A36="","","active")</f>
        <v/>
      </c>
      <c r="O36" s="60">
        <f>IF(A36="","",VLOOKUP(E36,Inventory_Live!$A$2:$M$201,4,FALSE))</f>
        <v/>
      </c>
      <c r="P36" s="60">
        <f>IF(A36="","",VLOOKUP(E36,Inventory_Live!$A$2:$M$201,5,FALSE))</f>
        <v/>
      </c>
      <c r="Q36" s="60">
        <f>IF(A36="","",VLOOKUP(E36,Inventory_Live!$A$2:$M$201,6,FALSE))</f>
        <v/>
      </c>
    </row>
    <row r="37">
      <c r="A37" s="60">
        <f>IF(Catalog!N37&lt;&gt;"Yes","",Catalog!B37)</f>
        <v/>
      </c>
      <c r="B37" s="60">
        <f>IF(A37="","",Catalog!C37)</f>
        <v/>
      </c>
      <c r="C37" s="60">
        <f>IF(A37="","",Catalog!H37)</f>
        <v/>
      </c>
      <c r="D37" s="60">
        <f>IF(A37="","",Catalog!I37)</f>
        <v/>
      </c>
      <c r="E37" s="60">
        <f>IF(A37="","",Catalog!A37)</f>
        <v/>
      </c>
      <c r="F37" s="60">
        <f>IF(A37="","",Catalog!J37)</f>
        <v/>
      </c>
      <c r="G37" s="76">
        <f>IF(A37="","",Catalog!L37)</f>
        <v/>
      </c>
      <c r="H37" s="76">
        <f>IF(A37="","",Catalog!K37)</f>
        <v/>
      </c>
      <c r="I37" s="60">
        <f>IF(A37="","",Catalog!F37)</f>
        <v/>
      </c>
      <c r="J37" s="60">
        <f>IF(A37="","",Catalog!G37)</f>
        <v/>
      </c>
      <c r="K37" s="60">
        <f>IF(A37="","","TRUE")</f>
        <v/>
      </c>
      <c r="L37" s="60">
        <f>IF(A37="","","shopify")</f>
        <v/>
      </c>
      <c r="M37" s="60">
        <f>IF(A37="","","deny")</f>
        <v/>
      </c>
      <c r="N37" s="60">
        <f>IF(A37="","","active")</f>
        <v/>
      </c>
      <c r="O37" s="60">
        <f>IF(A37="","",VLOOKUP(E37,Inventory_Live!$A$2:$M$201,4,FALSE))</f>
        <v/>
      </c>
      <c r="P37" s="60">
        <f>IF(A37="","",VLOOKUP(E37,Inventory_Live!$A$2:$M$201,5,FALSE))</f>
        <v/>
      </c>
      <c r="Q37" s="60">
        <f>IF(A37="","",VLOOKUP(E37,Inventory_Live!$A$2:$M$201,6,FALSE))</f>
        <v/>
      </c>
    </row>
    <row r="38">
      <c r="A38" s="60">
        <f>IF(Catalog!N38&lt;&gt;"Yes","",Catalog!B38)</f>
        <v/>
      </c>
      <c r="B38" s="60">
        <f>IF(A38="","",Catalog!C38)</f>
        <v/>
      </c>
      <c r="C38" s="60">
        <f>IF(A38="","",Catalog!H38)</f>
        <v/>
      </c>
      <c r="D38" s="60">
        <f>IF(A38="","",Catalog!I38)</f>
        <v/>
      </c>
      <c r="E38" s="60">
        <f>IF(A38="","",Catalog!A38)</f>
        <v/>
      </c>
      <c r="F38" s="60">
        <f>IF(A38="","",Catalog!J38)</f>
        <v/>
      </c>
      <c r="G38" s="76">
        <f>IF(A38="","",Catalog!L38)</f>
        <v/>
      </c>
      <c r="H38" s="76">
        <f>IF(A38="","",Catalog!K38)</f>
        <v/>
      </c>
      <c r="I38" s="60">
        <f>IF(A38="","",Catalog!F38)</f>
        <v/>
      </c>
      <c r="J38" s="60">
        <f>IF(A38="","",Catalog!G38)</f>
        <v/>
      </c>
      <c r="K38" s="60">
        <f>IF(A38="","","TRUE")</f>
        <v/>
      </c>
      <c r="L38" s="60">
        <f>IF(A38="","","shopify")</f>
        <v/>
      </c>
      <c r="M38" s="60">
        <f>IF(A38="","","deny")</f>
        <v/>
      </c>
      <c r="N38" s="60">
        <f>IF(A38="","","active")</f>
        <v/>
      </c>
      <c r="O38" s="60">
        <f>IF(A38="","",VLOOKUP(E38,Inventory_Live!$A$2:$M$201,4,FALSE))</f>
        <v/>
      </c>
      <c r="P38" s="60">
        <f>IF(A38="","",VLOOKUP(E38,Inventory_Live!$A$2:$M$201,5,FALSE))</f>
        <v/>
      </c>
      <c r="Q38" s="60">
        <f>IF(A38="","",VLOOKUP(E38,Inventory_Live!$A$2:$M$201,6,FALSE))</f>
        <v/>
      </c>
    </row>
    <row r="39">
      <c r="A39" s="60">
        <f>IF(Catalog!N39&lt;&gt;"Yes","",Catalog!B39)</f>
        <v/>
      </c>
      <c r="B39" s="60">
        <f>IF(A39="","",Catalog!C39)</f>
        <v/>
      </c>
      <c r="C39" s="60">
        <f>IF(A39="","",Catalog!H39)</f>
        <v/>
      </c>
      <c r="D39" s="60">
        <f>IF(A39="","",Catalog!I39)</f>
        <v/>
      </c>
      <c r="E39" s="60">
        <f>IF(A39="","",Catalog!A39)</f>
        <v/>
      </c>
      <c r="F39" s="60">
        <f>IF(A39="","",Catalog!J39)</f>
        <v/>
      </c>
      <c r="G39" s="76">
        <f>IF(A39="","",Catalog!L39)</f>
        <v/>
      </c>
      <c r="H39" s="76">
        <f>IF(A39="","",Catalog!K39)</f>
        <v/>
      </c>
      <c r="I39" s="60">
        <f>IF(A39="","",Catalog!F39)</f>
        <v/>
      </c>
      <c r="J39" s="60">
        <f>IF(A39="","",Catalog!G39)</f>
        <v/>
      </c>
      <c r="K39" s="60">
        <f>IF(A39="","","TRUE")</f>
        <v/>
      </c>
      <c r="L39" s="60">
        <f>IF(A39="","","shopify")</f>
        <v/>
      </c>
      <c r="M39" s="60">
        <f>IF(A39="","","deny")</f>
        <v/>
      </c>
      <c r="N39" s="60">
        <f>IF(A39="","","active")</f>
        <v/>
      </c>
      <c r="O39" s="60">
        <f>IF(A39="","",VLOOKUP(E39,Inventory_Live!$A$2:$M$201,4,FALSE))</f>
        <v/>
      </c>
      <c r="P39" s="60">
        <f>IF(A39="","",VLOOKUP(E39,Inventory_Live!$A$2:$M$201,5,FALSE))</f>
        <v/>
      </c>
      <c r="Q39" s="60">
        <f>IF(A39="","",VLOOKUP(E39,Inventory_Live!$A$2:$M$201,6,FALSE))</f>
        <v/>
      </c>
    </row>
    <row r="40">
      <c r="A40" s="60">
        <f>IF(Catalog!N40&lt;&gt;"Yes","",Catalog!B40)</f>
        <v/>
      </c>
      <c r="B40" s="60">
        <f>IF(A40="","",Catalog!C40)</f>
        <v/>
      </c>
      <c r="C40" s="60">
        <f>IF(A40="","",Catalog!H40)</f>
        <v/>
      </c>
      <c r="D40" s="60">
        <f>IF(A40="","",Catalog!I40)</f>
        <v/>
      </c>
      <c r="E40" s="60">
        <f>IF(A40="","",Catalog!A40)</f>
        <v/>
      </c>
      <c r="F40" s="60">
        <f>IF(A40="","",Catalog!J40)</f>
        <v/>
      </c>
      <c r="G40" s="76">
        <f>IF(A40="","",Catalog!L40)</f>
        <v/>
      </c>
      <c r="H40" s="76">
        <f>IF(A40="","",Catalog!K40)</f>
        <v/>
      </c>
      <c r="I40" s="60">
        <f>IF(A40="","",Catalog!F40)</f>
        <v/>
      </c>
      <c r="J40" s="60">
        <f>IF(A40="","",Catalog!G40)</f>
        <v/>
      </c>
      <c r="K40" s="60">
        <f>IF(A40="","","TRUE")</f>
        <v/>
      </c>
      <c r="L40" s="60">
        <f>IF(A40="","","shopify")</f>
        <v/>
      </c>
      <c r="M40" s="60">
        <f>IF(A40="","","deny")</f>
        <v/>
      </c>
      <c r="N40" s="60">
        <f>IF(A40="","","active")</f>
        <v/>
      </c>
      <c r="O40" s="60">
        <f>IF(A40="","",VLOOKUP(E40,Inventory_Live!$A$2:$M$201,4,FALSE))</f>
        <v/>
      </c>
      <c r="P40" s="60">
        <f>IF(A40="","",VLOOKUP(E40,Inventory_Live!$A$2:$M$201,5,FALSE))</f>
        <v/>
      </c>
      <c r="Q40" s="60">
        <f>IF(A40="","",VLOOKUP(E40,Inventory_Live!$A$2:$M$201,6,FALSE))</f>
        <v/>
      </c>
    </row>
    <row r="41">
      <c r="A41" s="60">
        <f>IF(Catalog!N41&lt;&gt;"Yes","",Catalog!B41)</f>
        <v/>
      </c>
      <c r="B41" s="60">
        <f>IF(A41="","",Catalog!C41)</f>
        <v/>
      </c>
      <c r="C41" s="60">
        <f>IF(A41="","",Catalog!H41)</f>
        <v/>
      </c>
      <c r="D41" s="60">
        <f>IF(A41="","",Catalog!I41)</f>
        <v/>
      </c>
      <c r="E41" s="60">
        <f>IF(A41="","",Catalog!A41)</f>
        <v/>
      </c>
      <c r="F41" s="60">
        <f>IF(A41="","",Catalog!J41)</f>
        <v/>
      </c>
      <c r="G41" s="76">
        <f>IF(A41="","",Catalog!L41)</f>
        <v/>
      </c>
      <c r="H41" s="76">
        <f>IF(A41="","",Catalog!K41)</f>
        <v/>
      </c>
      <c r="I41" s="60">
        <f>IF(A41="","",Catalog!F41)</f>
        <v/>
      </c>
      <c r="J41" s="60">
        <f>IF(A41="","",Catalog!G41)</f>
        <v/>
      </c>
      <c r="K41" s="60">
        <f>IF(A41="","","TRUE")</f>
        <v/>
      </c>
      <c r="L41" s="60">
        <f>IF(A41="","","shopify")</f>
        <v/>
      </c>
      <c r="M41" s="60">
        <f>IF(A41="","","deny")</f>
        <v/>
      </c>
      <c r="N41" s="60">
        <f>IF(A41="","","active")</f>
        <v/>
      </c>
      <c r="O41" s="60">
        <f>IF(A41="","",VLOOKUP(E41,Inventory_Live!$A$2:$M$201,4,FALSE))</f>
        <v/>
      </c>
      <c r="P41" s="60">
        <f>IF(A41="","",VLOOKUP(E41,Inventory_Live!$A$2:$M$201,5,FALSE))</f>
        <v/>
      </c>
      <c r="Q41" s="60">
        <f>IF(A41="","",VLOOKUP(E41,Inventory_Live!$A$2:$M$201,6,FALSE))</f>
        <v/>
      </c>
    </row>
    <row r="42">
      <c r="A42" s="60">
        <f>IF(Catalog!N42&lt;&gt;"Yes","",Catalog!B42)</f>
        <v/>
      </c>
      <c r="B42" s="60">
        <f>IF(A42="","",Catalog!C42)</f>
        <v/>
      </c>
      <c r="C42" s="60">
        <f>IF(A42="","",Catalog!H42)</f>
        <v/>
      </c>
      <c r="D42" s="60">
        <f>IF(A42="","",Catalog!I42)</f>
        <v/>
      </c>
      <c r="E42" s="60">
        <f>IF(A42="","",Catalog!A42)</f>
        <v/>
      </c>
      <c r="F42" s="60">
        <f>IF(A42="","",Catalog!J42)</f>
        <v/>
      </c>
      <c r="G42" s="76">
        <f>IF(A42="","",Catalog!L42)</f>
        <v/>
      </c>
      <c r="H42" s="76">
        <f>IF(A42="","",Catalog!K42)</f>
        <v/>
      </c>
      <c r="I42" s="60">
        <f>IF(A42="","",Catalog!F42)</f>
        <v/>
      </c>
      <c r="J42" s="60">
        <f>IF(A42="","",Catalog!G42)</f>
        <v/>
      </c>
      <c r="K42" s="60">
        <f>IF(A42="","","TRUE")</f>
        <v/>
      </c>
      <c r="L42" s="60">
        <f>IF(A42="","","shopify")</f>
        <v/>
      </c>
      <c r="M42" s="60">
        <f>IF(A42="","","deny")</f>
        <v/>
      </c>
      <c r="N42" s="60">
        <f>IF(A42="","","active")</f>
        <v/>
      </c>
      <c r="O42" s="60">
        <f>IF(A42="","",VLOOKUP(E42,Inventory_Live!$A$2:$M$201,4,FALSE))</f>
        <v/>
      </c>
      <c r="P42" s="60">
        <f>IF(A42="","",VLOOKUP(E42,Inventory_Live!$A$2:$M$201,5,FALSE))</f>
        <v/>
      </c>
      <c r="Q42" s="60">
        <f>IF(A42="","",VLOOKUP(E42,Inventory_Live!$A$2:$M$201,6,FALSE))</f>
        <v/>
      </c>
    </row>
    <row r="43">
      <c r="A43" s="60">
        <f>IF(Catalog!N43&lt;&gt;"Yes","",Catalog!B43)</f>
        <v/>
      </c>
      <c r="B43" s="60">
        <f>IF(A43="","",Catalog!C43)</f>
        <v/>
      </c>
      <c r="C43" s="60">
        <f>IF(A43="","",Catalog!H43)</f>
        <v/>
      </c>
      <c r="D43" s="60">
        <f>IF(A43="","",Catalog!I43)</f>
        <v/>
      </c>
      <c r="E43" s="60">
        <f>IF(A43="","",Catalog!A43)</f>
        <v/>
      </c>
      <c r="F43" s="60">
        <f>IF(A43="","",Catalog!J43)</f>
        <v/>
      </c>
      <c r="G43" s="76">
        <f>IF(A43="","",Catalog!L43)</f>
        <v/>
      </c>
      <c r="H43" s="76">
        <f>IF(A43="","",Catalog!K43)</f>
        <v/>
      </c>
      <c r="I43" s="60">
        <f>IF(A43="","",Catalog!F43)</f>
        <v/>
      </c>
      <c r="J43" s="60">
        <f>IF(A43="","",Catalog!G43)</f>
        <v/>
      </c>
      <c r="K43" s="60">
        <f>IF(A43="","","TRUE")</f>
        <v/>
      </c>
      <c r="L43" s="60">
        <f>IF(A43="","","shopify")</f>
        <v/>
      </c>
      <c r="M43" s="60">
        <f>IF(A43="","","deny")</f>
        <v/>
      </c>
      <c r="N43" s="60">
        <f>IF(A43="","","active")</f>
        <v/>
      </c>
      <c r="O43" s="60">
        <f>IF(A43="","",VLOOKUP(E43,Inventory_Live!$A$2:$M$201,4,FALSE))</f>
        <v/>
      </c>
      <c r="P43" s="60">
        <f>IF(A43="","",VLOOKUP(E43,Inventory_Live!$A$2:$M$201,5,FALSE))</f>
        <v/>
      </c>
      <c r="Q43" s="60">
        <f>IF(A43="","",VLOOKUP(E43,Inventory_Live!$A$2:$M$201,6,FALSE))</f>
        <v/>
      </c>
    </row>
    <row r="44">
      <c r="A44" s="60">
        <f>IF(Catalog!N44&lt;&gt;"Yes","",Catalog!B44)</f>
        <v/>
      </c>
      <c r="B44" s="60">
        <f>IF(A44="","",Catalog!C44)</f>
        <v/>
      </c>
      <c r="C44" s="60">
        <f>IF(A44="","",Catalog!H44)</f>
        <v/>
      </c>
      <c r="D44" s="60">
        <f>IF(A44="","",Catalog!I44)</f>
        <v/>
      </c>
      <c r="E44" s="60">
        <f>IF(A44="","",Catalog!A44)</f>
        <v/>
      </c>
      <c r="F44" s="60">
        <f>IF(A44="","",Catalog!J44)</f>
        <v/>
      </c>
      <c r="G44" s="76">
        <f>IF(A44="","",Catalog!L44)</f>
        <v/>
      </c>
      <c r="H44" s="76">
        <f>IF(A44="","",Catalog!K44)</f>
        <v/>
      </c>
      <c r="I44" s="60">
        <f>IF(A44="","",Catalog!F44)</f>
        <v/>
      </c>
      <c r="J44" s="60">
        <f>IF(A44="","",Catalog!G44)</f>
        <v/>
      </c>
      <c r="K44" s="60">
        <f>IF(A44="","","TRUE")</f>
        <v/>
      </c>
      <c r="L44" s="60">
        <f>IF(A44="","","shopify")</f>
        <v/>
      </c>
      <c r="M44" s="60">
        <f>IF(A44="","","deny")</f>
        <v/>
      </c>
      <c r="N44" s="60">
        <f>IF(A44="","","active")</f>
        <v/>
      </c>
      <c r="O44" s="60">
        <f>IF(A44="","",VLOOKUP(E44,Inventory_Live!$A$2:$M$201,4,FALSE))</f>
        <v/>
      </c>
      <c r="P44" s="60">
        <f>IF(A44="","",VLOOKUP(E44,Inventory_Live!$A$2:$M$201,5,FALSE))</f>
        <v/>
      </c>
      <c r="Q44" s="60">
        <f>IF(A44="","",VLOOKUP(E44,Inventory_Live!$A$2:$M$201,6,FALSE))</f>
        <v/>
      </c>
    </row>
    <row r="45">
      <c r="A45" s="60">
        <f>IF(Catalog!N45&lt;&gt;"Yes","",Catalog!B45)</f>
        <v/>
      </c>
      <c r="B45" s="60">
        <f>IF(A45="","",Catalog!C45)</f>
        <v/>
      </c>
      <c r="C45" s="60">
        <f>IF(A45="","",Catalog!H45)</f>
        <v/>
      </c>
      <c r="D45" s="60">
        <f>IF(A45="","",Catalog!I45)</f>
        <v/>
      </c>
      <c r="E45" s="60">
        <f>IF(A45="","",Catalog!A45)</f>
        <v/>
      </c>
      <c r="F45" s="60">
        <f>IF(A45="","",Catalog!J45)</f>
        <v/>
      </c>
      <c r="G45" s="76">
        <f>IF(A45="","",Catalog!L45)</f>
        <v/>
      </c>
      <c r="H45" s="76">
        <f>IF(A45="","",Catalog!K45)</f>
        <v/>
      </c>
      <c r="I45" s="60">
        <f>IF(A45="","",Catalog!F45)</f>
        <v/>
      </c>
      <c r="J45" s="60">
        <f>IF(A45="","",Catalog!G45)</f>
        <v/>
      </c>
      <c r="K45" s="60">
        <f>IF(A45="","","TRUE")</f>
        <v/>
      </c>
      <c r="L45" s="60">
        <f>IF(A45="","","shopify")</f>
        <v/>
      </c>
      <c r="M45" s="60">
        <f>IF(A45="","","deny")</f>
        <v/>
      </c>
      <c r="N45" s="60">
        <f>IF(A45="","","active")</f>
        <v/>
      </c>
      <c r="O45" s="60">
        <f>IF(A45="","",VLOOKUP(E45,Inventory_Live!$A$2:$M$201,4,FALSE))</f>
        <v/>
      </c>
      <c r="P45" s="60">
        <f>IF(A45="","",VLOOKUP(E45,Inventory_Live!$A$2:$M$201,5,FALSE))</f>
        <v/>
      </c>
      <c r="Q45" s="60">
        <f>IF(A45="","",VLOOKUP(E45,Inventory_Live!$A$2:$M$201,6,FALSE))</f>
        <v/>
      </c>
    </row>
    <row r="46">
      <c r="A46" s="60">
        <f>IF(Catalog!N46&lt;&gt;"Yes","",Catalog!B46)</f>
        <v/>
      </c>
      <c r="B46" s="60">
        <f>IF(A46="","",Catalog!C46)</f>
        <v/>
      </c>
      <c r="C46" s="60">
        <f>IF(A46="","",Catalog!H46)</f>
        <v/>
      </c>
      <c r="D46" s="60">
        <f>IF(A46="","",Catalog!I46)</f>
        <v/>
      </c>
      <c r="E46" s="60">
        <f>IF(A46="","",Catalog!A46)</f>
        <v/>
      </c>
      <c r="F46" s="60">
        <f>IF(A46="","",Catalog!J46)</f>
        <v/>
      </c>
      <c r="G46" s="76">
        <f>IF(A46="","",Catalog!L46)</f>
        <v/>
      </c>
      <c r="H46" s="76">
        <f>IF(A46="","",Catalog!K46)</f>
        <v/>
      </c>
      <c r="I46" s="60">
        <f>IF(A46="","",Catalog!F46)</f>
        <v/>
      </c>
      <c r="J46" s="60">
        <f>IF(A46="","",Catalog!G46)</f>
        <v/>
      </c>
      <c r="K46" s="60">
        <f>IF(A46="","","TRUE")</f>
        <v/>
      </c>
      <c r="L46" s="60">
        <f>IF(A46="","","shopify")</f>
        <v/>
      </c>
      <c r="M46" s="60">
        <f>IF(A46="","","deny")</f>
        <v/>
      </c>
      <c r="N46" s="60">
        <f>IF(A46="","","active")</f>
        <v/>
      </c>
      <c r="O46" s="60">
        <f>IF(A46="","",VLOOKUP(E46,Inventory_Live!$A$2:$M$201,4,FALSE))</f>
        <v/>
      </c>
      <c r="P46" s="60">
        <f>IF(A46="","",VLOOKUP(E46,Inventory_Live!$A$2:$M$201,5,FALSE))</f>
        <v/>
      </c>
      <c r="Q46" s="60">
        <f>IF(A46="","",VLOOKUP(E46,Inventory_Live!$A$2:$M$201,6,FALSE))</f>
        <v/>
      </c>
    </row>
    <row r="47">
      <c r="A47" s="60">
        <f>IF(Catalog!N47&lt;&gt;"Yes","",Catalog!B47)</f>
        <v/>
      </c>
      <c r="B47" s="60">
        <f>IF(A47="","",Catalog!C47)</f>
        <v/>
      </c>
      <c r="C47" s="60">
        <f>IF(A47="","",Catalog!H47)</f>
        <v/>
      </c>
      <c r="D47" s="60">
        <f>IF(A47="","",Catalog!I47)</f>
        <v/>
      </c>
      <c r="E47" s="60">
        <f>IF(A47="","",Catalog!A47)</f>
        <v/>
      </c>
      <c r="F47" s="60">
        <f>IF(A47="","",Catalog!J47)</f>
        <v/>
      </c>
      <c r="G47" s="76">
        <f>IF(A47="","",Catalog!L47)</f>
        <v/>
      </c>
      <c r="H47" s="76">
        <f>IF(A47="","",Catalog!K47)</f>
        <v/>
      </c>
      <c r="I47" s="60">
        <f>IF(A47="","",Catalog!F47)</f>
        <v/>
      </c>
      <c r="J47" s="60">
        <f>IF(A47="","",Catalog!G47)</f>
        <v/>
      </c>
      <c r="K47" s="60">
        <f>IF(A47="","","TRUE")</f>
        <v/>
      </c>
      <c r="L47" s="60">
        <f>IF(A47="","","shopify")</f>
        <v/>
      </c>
      <c r="M47" s="60">
        <f>IF(A47="","","deny")</f>
        <v/>
      </c>
      <c r="N47" s="60">
        <f>IF(A47="","","active")</f>
        <v/>
      </c>
      <c r="O47" s="60">
        <f>IF(A47="","",VLOOKUP(E47,Inventory_Live!$A$2:$M$201,4,FALSE))</f>
        <v/>
      </c>
      <c r="P47" s="60">
        <f>IF(A47="","",VLOOKUP(E47,Inventory_Live!$A$2:$M$201,5,FALSE))</f>
        <v/>
      </c>
      <c r="Q47" s="60">
        <f>IF(A47="","",VLOOKUP(E47,Inventory_Live!$A$2:$M$201,6,FALSE))</f>
        <v/>
      </c>
    </row>
    <row r="48">
      <c r="A48" s="60">
        <f>IF(Catalog!N48&lt;&gt;"Yes","",Catalog!B48)</f>
        <v/>
      </c>
      <c r="B48" s="60">
        <f>IF(A48="","",Catalog!C48)</f>
        <v/>
      </c>
      <c r="C48" s="60">
        <f>IF(A48="","",Catalog!H48)</f>
        <v/>
      </c>
      <c r="D48" s="60">
        <f>IF(A48="","",Catalog!I48)</f>
        <v/>
      </c>
      <c r="E48" s="60">
        <f>IF(A48="","",Catalog!A48)</f>
        <v/>
      </c>
      <c r="F48" s="60">
        <f>IF(A48="","",Catalog!J48)</f>
        <v/>
      </c>
      <c r="G48" s="76">
        <f>IF(A48="","",Catalog!L48)</f>
        <v/>
      </c>
      <c r="H48" s="76">
        <f>IF(A48="","",Catalog!K48)</f>
        <v/>
      </c>
      <c r="I48" s="60">
        <f>IF(A48="","",Catalog!F48)</f>
        <v/>
      </c>
      <c r="J48" s="60">
        <f>IF(A48="","",Catalog!G48)</f>
        <v/>
      </c>
      <c r="K48" s="60">
        <f>IF(A48="","","TRUE")</f>
        <v/>
      </c>
      <c r="L48" s="60">
        <f>IF(A48="","","shopify")</f>
        <v/>
      </c>
      <c r="M48" s="60">
        <f>IF(A48="","","deny")</f>
        <v/>
      </c>
      <c r="N48" s="60">
        <f>IF(A48="","","active")</f>
        <v/>
      </c>
      <c r="O48" s="60">
        <f>IF(A48="","",VLOOKUP(E48,Inventory_Live!$A$2:$M$201,4,FALSE))</f>
        <v/>
      </c>
      <c r="P48" s="60">
        <f>IF(A48="","",VLOOKUP(E48,Inventory_Live!$A$2:$M$201,5,FALSE))</f>
        <v/>
      </c>
      <c r="Q48" s="60">
        <f>IF(A48="","",VLOOKUP(E48,Inventory_Live!$A$2:$M$201,6,FALSE))</f>
        <v/>
      </c>
    </row>
    <row r="49">
      <c r="A49" s="60">
        <f>IF(Catalog!N49&lt;&gt;"Yes","",Catalog!B49)</f>
        <v/>
      </c>
      <c r="B49" s="60">
        <f>IF(A49="","",Catalog!C49)</f>
        <v/>
      </c>
      <c r="C49" s="60">
        <f>IF(A49="","",Catalog!H49)</f>
        <v/>
      </c>
      <c r="D49" s="60">
        <f>IF(A49="","",Catalog!I49)</f>
        <v/>
      </c>
      <c r="E49" s="60">
        <f>IF(A49="","",Catalog!A49)</f>
        <v/>
      </c>
      <c r="F49" s="60">
        <f>IF(A49="","",Catalog!J49)</f>
        <v/>
      </c>
      <c r="G49" s="76">
        <f>IF(A49="","",Catalog!L49)</f>
        <v/>
      </c>
      <c r="H49" s="76">
        <f>IF(A49="","",Catalog!K49)</f>
        <v/>
      </c>
      <c r="I49" s="60">
        <f>IF(A49="","",Catalog!F49)</f>
        <v/>
      </c>
      <c r="J49" s="60">
        <f>IF(A49="","",Catalog!G49)</f>
        <v/>
      </c>
      <c r="K49" s="60">
        <f>IF(A49="","","TRUE")</f>
        <v/>
      </c>
      <c r="L49" s="60">
        <f>IF(A49="","","shopify")</f>
        <v/>
      </c>
      <c r="M49" s="60">
        <f>IF(A49="","","deny")</f>
        <v/>
      </c>
      <c r="N49" s="60">
        <f>IF(A49="","","active")</f>
        <v/>
      </c>
      <c r="O49" s="60">
        <f>IF(A49="","",VLOOKUP(E49,Inventory_Live!$A$2:$M$201,4,FALSE))</f>
        <v/>
      </c>
      <c r="P49" s="60">
        <f>IF(A49="","",VLOOKUP(E49,Inventory_Live!$A$2:$M$201,5,FALSE))</f>
        <v/>
      </c>
      <c r="Q49" s="60">
        <f>IF(A49="","",VLOOKUP(E49,Inventory_Live!$A$2:$M$201,6,FALSE))</f>
        <v/>
      </c>
    </row>
    <row r="50">
      <c r="A50" s="60">
        <f>IF(Catalog!N50&lt;&gt;"Yes","",Catalog!B50)</f>
        <v/>
      </c>
      <c r="B50" s="60">
        <f>IF(A50="","",Catalog!C50)</f>
        <v/>
      </c>
      <c r="C50" s="60">
        <f>IF(A50="","",Catalog!H50)</f>
        <v/>
      </c>
      <c r="D50" s="60">
        <f>IF(A50="","",Catalog!I50)</f>
        <v/>
      </c>
      <c r="E50" s="60">
        <f>IF(A50="","",Catalog!A50)</f>
        <v/>
      </c>
      <c r="F50" s="60">
        <f>IF(A50="","",Catalog!J50)</f>
        <v/>
      </c>
      <c r="G50" s="76">
        <f>IF(A50="","",Catalog!L50)</f>
        <v/>
      </c>
      <c r="H50" s="76">
        <f>IF(A50="","",Catalog!K50)</f>
        <v/>
      </c>
      <c r="I50" s="60">
        <f>IF(A50="","",Catalog!F50)</f>
        <v/>
      </c>
      <c r="J50" s="60">
        <f>IF(A50="","",Catalog!G50)</f>
        <v/>
      </c>
      <c r="K50" s="60">
        <f>IF(A50="","","TRUE")</f>
        <v/>
      </c>
      <c r="L50" s="60">
        <f>IF(A50="","","shopify")</f>
        <v/>
      </c>
      <c r="M50" s="60">
        <f>IF(A50="","","deny")</f>
        <v/>
      </c>
      <c r="N50" s="60">
        <f>IF(A50="","","active")</f>
        <v/>
      </c>
      <c r="O50" s="60">
        <f>IF(A50="","",VLOOKUP(E50,Inventory_Live!$A$2:$M$201,4,FALSE))</f>
        <v/>
      </c>
      <c r="P50" s="60">
        <f>IF(A50="","",VLOOKUP(E50,Inventory_Live!$A$2:$M$201,5,FALSE))</f>
        <v/>
      </c>
      <c r="Q50" s="60">
        <f>IF(A50="","",VLOOKUP(E50,Inventory_Live!$A$2:$M$201,6,FALSE))</f>
        <v/>
      </c>
    </row>
    <row r="51">
      <c r="A51" s="60">
        <f>IF(Catalog!N51&lt;&gt;"Yes","",Catalog!B51)</f>
        <v/>
      </c>
      <c r="B51" s="60">
        <f>IF(A51="","",Catalog!C51)</f>
        <v/>
      </c>
      <c r="C51" s="60">
        <f>IF(A51="","",Catalog!H51)</f>
        <v/>
      </c>
      <c r="D51" s="60">
        <f>IF(A51="","",Catalog!I51)</f>
        <v/>
      </c>
      <c r="E51" s="60">
        <f>IF(A51="","",Catalog!A51)</f>
        <v/>
      </c>
      <c r="F51" s="60">
        <f>IF(A51="","",Catalog!J51)</f>
        <v/>
      </c>
      <c r="G51" s="76">
        <f>IF(A51="","",Catalog!L51)</f>
        <v/>
      </c>
      <c r="H51" s="76">
        <f>IF(A51="","",Catalog!K51)</f>
        <v/>
      </c>
      <c r="I51" s="60">
        <f>IF(A51="","",Catalog!F51)</f>
        <v/>
      </c>
      <c r="J51" s="60">
        <f>IF(A51="","",Catalog!G51)</f>
        <v/>
      </c>
      <c r="K51" s="60">
        <f>IF(A51="","","TRUE")</f>
        <v/>
      </c>
      <c r="L51" s="60">
        <f>IF(A51="","","shopify")</f>
        <v/>
      </c>
      <c r="M51" s="60">
        <f>IF(A51="","","deny")</f>
        <v/>
      </c>
      <c r="N51" s="60">
        <f>IF(A51="","","active")</f>
        <v/>
      </c>
      <c r="O51" s="60">
        <f>IF(A51="","",VLOOKUP(E51,Inventory_Live!$A$2:$M$201,4,FALSE))</f>
        <v/>
      </c>
      <c r="P51" s="60">
        <f>IF(A51="","",VLOOKUP(E51,Inventory_Live!$A$2:$M$201,5,FALSE))</f>
        <v/>
      </c>
      <c r="Q51" s="60">
        <f>IF(A51="","",VLOOKUP(E51,Inventory_Live!$A$2:$M$201,6,FALSE))</f>
        <v/>
      </c>
    </row>
    <row r="52">
      <c r="A52" s="60">
        <f>IF(Catalog!N52&lt;&gt;"Yes","",Catalog!B52)</f>
        <v/>
      </c>
      <c r="B52" s="60">
        <f>IF(A52="","",Catalog!C52)</f>
        <v/>
      </c>
      <c r="C52" s="60">
        <f>IF(A52="","",Catalog!H52)</f>
        <v/>
      </c>
      <c r="D52" s="60">
        <f>IF(A52="","",Catalog!I52)</f>
        <v/>
      </c>
      <c r="E52" s="60">
        <f>IF(A52="","",Catalog!A52)</f>
        <v/>
      </c>
      <c r="F52" s="60">
        <f>IF(A52="","",Catalog!J52)</f>
        <v/>
      </c>
      <c r="G52" s="76">
        <f>IF(A52="","",Catalog!L52)</f>
        <v/>
      </c>
      <c r="H52" s="76">
        <f>IF(A52="","",Catalog!K52)</f>
        <v/>
      </c>
      <c r="I52" s="60">
        <f>IF(A52="","",Catalog!F52)</f>
        <v/>
      </c>
      <c r="J52" s="60">
        <f>IF(A52="","",Catalog!G52)</f>
        <v/>
      </c>
      <c r="K52" s="60">
        <f>IF(A52="","","TRUE")</f>
        <v/>
      </c>
      <c r="L52" s="60">
        <f>IF(A52="","","shopify")</f>
        <v/>
      </c>
      <c r="M52" s="60">
        <f>IF(A52="","","deny")</f>
        <v/>
      </c>
      <c r="N52" s="60">
        <f>IF(A52="","","active")</f>
        <v/>
      </c>
      <c r="O52" s="60">
        <f>IF(A52="","",VLOOKUP(E52,Inventory_Live!$A$2:$M$201,4,FALSE))</f>
        <v/>
      </c>
      <c r="P52" s="60">
        <f>IF(A52="","",VLOOKUP(E52,Inventory_Live!$A$2:$M$201,5,FALSE))</f>
        <v/>
      </c>
      <c r="Q52" s="60">
        <f>IF(A52="","",VLOOKUP(E52,Inventory_Live!$A$2:$M$201,6,FALSE))</f>
        <v/>
      </c>
    </row>
    <row r="53">
      <c r="A53" s="60">
        <f>IF(Catalog!N53&lt;&gt;"Yes","",Catalog!B53)</f>
        <v/>
      </c>
      <c r="B53" s="60">
        <f>IF(A53="","",Catalog!C53)</f>
        <v/>
      </c>
      <c r="C53" s="60">
        <f>IF(A53="","",Catalog!H53)</f>
        <v/>
      </c>
      <c r="D53" s="60">
        <f>IF(A53="","",Catalog!I53)</f>
        <v/>
      </c>
      <c r="E53" s="60">
        <f>IF(A53="","",Catalog!A53)</f>
        <v/>
      </c>
      <c r="F53" s="60">
        <f>IF(A53="","",Catalog!J53)</f>
        <v/>
      </c>
      <c r="G53" s="76">
        <f>IF(A53="","",Catalog!L53)</f>
        <v/>
      </c>
      <c r="H53" s="76">
        <f>IF(A53="","",Catalog!K53)</f>
        <v/>
      </c>
      <c r="I53" s="60">
        <f>IF(A53="","",Catalog!F53)</f>
        <v/>
      </c>
      <c r="J53" s="60">
        <f>IF(A53="","",Catalog!G53)</f>
        <v/>
      </c>
      <c r="K53" s="60">
        <f>IF(A53="","","TRUE")</f>
        <v/>
      </c>
      <c r="L53" s="60">
        <f>IF(A53="","","shopify")</f>
        <v/>
      </c>
      <c r="M53" s="60">
        <f>IF(A53="","","deny")</f>
        <v/>
      </c>
      <c r="N53" s="60">
        <f>IF(A53="","","active")</f>
        <v/>
      </c>
      <c r="O53" s="60">
        <f>IF(A53="","",VLOOKUP(E53,Inventory_Live!$A$2:$M$201,4,FALSE))</f>
        <v/>
      </c>
      <c r="P53" s="60">
        <f>IF(A53="","",VLOOKUP(E53,Inventory_Live!$A$2:$M$201,5,FALSE))</f>
        <v/>
      </c>
      <c r="Q53" s="60">
        <f>IF(A53="","",VLOOKUP(E53,Inventory_Live!$A$2:$M$201,6,FALSE))</f>
        <v/>
      </c>
    </row>
    <row r="54">
      <c r="A54" s="60">
        <f>IF(Catalog!N54&lt;&gt;"Yes","",Catalog!B54)</f>
        <v/>
      </c>
      <c r="B54" s="60">
        <f>IF(A54="","",Catalog!C54)</f>
        <v/>
      </c>
      <c r="C54" s="60">
        <f>IF(A54="","",Catalog!H54)</f>
        <v/>
      </c>
      <c r="D54" s="60">
        <f>IF(A54="","",Catalog!I54)</f>
        <v/>
      </c>
      <c r="E54" s="60">
        <f>IF(A54="","",Catalog!A54)</f>
        <v/>
      </c>
      <c r="F54" s="60">
        <f>IF(A54="","",Catalog!J54)</f>
        <v/>
      </c>
      <c r="G54" s="76">
        <f>IF(A54="","",Catalog!L54)</f>
        <v/>
      </c>
      <c r="H54" s="76">
        <f>IF(A54="","",Catalog!K54)</f>
        <v/>
      </c>
      <c r="I54" s="60">
        <f>IF(A54="","",Catalog!F54)</f>
        <v/>
      </c>
      <c r="J54" s="60">
        <f>IF(A54="","",Catalog!G54)</f>
        <v/>
      </c>
      <c r="K54" s="60">
        <f>IF(A54="","","TRUE")</f>
        <v/>
      </c>
      <c r="L54" s="60">
        <f>IF(A54="","","shopify")</f>
        <v/>
      </c>
      <c r="M54" s="60">
        <f>IF(A54="","","deny")</f>
        <v/>
      </c>
      <c r="N54" s="60">
        <f>IF(A54="","","active")</f>
        <v/>
      </c>
      <c r="O54" s="60">
        <f>IF(A54="","",VLOOKUP(E54,Inventory_Live!$A$2:$M$201,4,FALSE))</f>
        <v/>
      </c>
      <c r="P54" s="60">
        <f>IF(A54="","",VLOOKUP(E54,Inventory_Live!$A$2:$M$201,5,FALSE))</f>
        <v/>
      </c>
      <c r="Q54" s="60">
        <f>IF(A54="","",VLOOKUP(E54,Inventory_Live!$A$2:$M$201,6,FALSE))</f>
        <v/>
      </c>
    </row>
    <row r="55">
      <c r="A55" s="60">
        <f>IF(Catalog!N55&lt;&gt;"Yes","",Catalog!B55)</f>
        <v/>
      </c>
      <c r="B55" s="60">
        <f>IF(A55="","",Catalog!C55)</f>
        <v/>
      </c>
      <c r="C55" s="60">
        <f>IF(A55="","",Catalog!H55)</f>
        <v/>
      </c>
      <c r="D55" s="60">
        <f>IF(A55="","",Catalog!I55)</f>
        <v/>
      </c>
      <c r="E55" s="60">
        <f>IF(A55="","",Catalog!A55)</f>
        <v/>
      </c>
      <c r="F55" s="60">
        <f>IF(A55="","",Catalog!J55)</f>
        <v/>
      </c>
      <c r="G55" s="76">
        <f>IF(A55="","",Catalog!L55)</f>
        <v/>
      </c>
      <c r="H55" s="76">
        <f>IF(A55="","",Catalog!K55)</f>
        <v/>
      </c>
      <c r="I55" s="60">
        <f>IF(A55="","",Catalog!F55)</f>
        <v/>
      </c>
      <c r="J55" s="60">
        <f>IF(A55="","",Catalog!G55)</f>
        <v/>
      </c>
      <c r="K55" s="60">
        <f>IF(A55="","","TRUE")</f>
        <v/>
      </c>
      <c r="L55" s="60">
        <f>IF(A55="","","shopify")</f>
        <v/>
      </c>
      <c r="M55" s="60">
        <f>IF(A55="","","deny")</f>
        <v/>
      </c>
      <c r="N55" s="60">
        <f>IF(A55="","","active")</f>
        <v/>
      </c>
      <c r="O55" s="60">
        <f>IF(A55="","",VLOOKUP(E55,Inventory_Live!$A$2:$M$201,4,FALSE))</f>
        <v/>
      </c>
      <c r="P55" s="60">
        <f>IF(A55="","",VLOOKUP(E55,Inventory_Live!$A$2:$M$201,5,FALSE))</f>
        <v/>
      </c>
      <c r="Q55" s="60">
        <f>IF(A55="","",VLOOKUP(E55,Inventory_Live!$A$2:$M$201,6,FALSE))</f>
        <v/>
      </c>
    </row>
    <row r="56">
      <c r="A56" s="60">
        <f>IF(Catalog!N56&lt;&gt;"Yes","",Catalog!B56)</f>
        <v/>
      </c>
      <c r="B56" s="60">
        <f>IF(A56="","",Catalog!C56)</f>
        <v/>
      </c>
      <c r="C56" s="60">
        <f>IF(A56="","",Catalog!H56)</f>
        <v/>
      </c>
      <c r="D56" s="60">
        <f>IF(A56="","",Catalog!I56)</f>
        <v/>
      </c>
      <c r="E56" s="60">
        <f>IF(A56="","",Catalog!A56)</f>
        <v/>
      </c>
      <c r="F56" s="60">
        <f>IF(A56="","",Catalog!J56)</f>
        <v/>
      </c>
      <c r="G56" s="76">
        <f>IF(A56="","",Catalog!L56)</f>
        <v/>
      </c>
      <c r="H56" s="76">
        <f>IF(A56="","",Catalog!K56)</f>
        <v/>
      </c>
      <c r="I56" s="60">
        <f>IF(A56="","",Catalog!F56)</f>
        <v/>
      </c>
      <c r="J56" s="60">
        <f>IF(A56="","",Catalog!G56)</f>
        <v/>
      </c>
      <c r="K56" s="60">
        <f>IF(A56="","","TRUE")</f>
        <v/>
      </c>
      <c r="L56" s="60">
        <f>IF(A56="","","shopify")</f>
        <v/>
      </c>
      <c r="M56" s="60">
        <f>IF(A56="","","deny")</f>
        <v/>
      </c>
      <c r="N56" s="60">
        <f>IF(A56="","","active")</f>
        <v/>
      </c>
      <c r="O56" s="60">
        <f>IF(A56="","",VLOOKUP(E56,Inventory_Live!$A$2:$M$201,4,FALSE))</f>
        <v/>
      </c>
      <c r="P56" s="60">
        <f>IF(A56="","",VLOOKUP(E56,Inventory_Live!$A$2:$M$201,5,FALSE))</f>
        <v/>
      </c>
      <c r="Q56" s="60">
        <f>IF(A56="","",VLOOKUP(E56,Inventory_Live!$A$2:$M$201,6,FALSE))</f>
        <v/>
      </c>
    </row>
    <row r="57">
      <c r="A57" s="60">
        <f>IF(Catalog!N57&lt;&gt;"Yes","",Catalog!B57)</f>
        <v/>
      </c>
      <c r="B57" s="60">
        <f>IF(A57="","",Catalog!C57)</f>
        <v/>
      </c>
      <c r="C57" s="60">
        <f>IF(A57="","",Catalog!H57)</f>
        <v/>
      </c>
      <c r="D57" s="60">
        <f>IF(A57="","",Catalog!I57)</f>
        <v/>
      </c>
      <c r="E57" s="60">
        <f>IF(A57="","",Catalog!A57)</f>
        <v/>
      </c>
      <c r="F57" s="60">
        <f>IF(A57="","",Catalog!J57)</f>
        <v/>
      </c>
      <c r="G57" s="76">
        <f>IF(A57="","",Catalog!L57)</f>
        <v/>
      </c>
      <c r="H57" s="76">
        <f>IF(A57="","",Catalog!K57)</f>
        <v/>
      </c>
      <c r="I57" s="60">
        <f>IF(A57="","",Catalog!F57)</f>
        <v/>
      </c>
      <c r="J57" s="60">
        <f>IF(A57="","",Catalog!G57)</f>
        <v/>
      </c>
      <c r="K57" s="60">
        <f>IF(A57="","","TRUE")</f>
        <v/>
      </c>
      <c r="L57" s="60">
        <f>IF(A57="","","shopify")</f>
        <v/>
      </c>
      <c r="M57" s="60">
        <f>IF(A57="","","deny")</f>
        <v/>
      </c>
      <c r="N57" s="60">
        <f>IF(A57="","","active")</f>
        <v/>
      </c>
      <c r="O57" s="60">
        <f>IF(A57="","",VLOOKUP(E57,Inventory_Live!$A$2:$M$201,4,FALSE))</f>
        <v/>
      </c>
      <c r="P57" s="60">
        <f>IF(A57="","",VLOOKUP(E57,Inventory_Live!$A$2:$M$201,5,FALSE))</f>
        <v/>
      </c>
      <c r="Q57" s="60">
        <f>IF(A57="","",VLOOKUP(E57,Inventory_Live!$A$2:$M$201,6,FALSE))</f>
        <v/>
      </c>
    </row>
    <row r="58">
      <c r="A58" s="60">
        <f>IF(Catalog!N58&lt;&gt;"Yes","",Catalog!B58)</f>
        <v/>
      </c>
      <c r="B58" s="60">
        <f>IF(A58="","",Catalog!C58)</f>
        <v/>
      </c>
      <c r="C58" s="60">
        <f>IF(A58="","",Catalog!H58)</f>
        <v/>
      </c>
      <c r="D58" s="60">
        <f>IF(A58="","",Catalog!I58)</f>
        <v/>
      </c>
      <c r="E58" s="60">
        <f>IF(A58="","",Catalog!A58)</f>
        <v/>
      </c>
      <c r="F58" s="60">
        <f>IF(A58="","",Catalog!J58)</f>
        <v/>
      </c>
      <c r="G58" s="76">
        <f>IF(A58="","",Catalog!L58)</f>
        <v/>
      </c>
      <c r="H58" s="76">
        <f>IF(A58="","",Catalog!K58)</f>
        <v/>
      </c>
      <c r="I58" s="60">
        <f>IF(A58="","",Catalog!F58)</f>
        <v/>
      </c>
      <c r="J58" s="60">
        <f>IF(A58="","",Catalog!G58)</f>
        <v/>
      </c>
      <c r="K58" s="60">
        <f>IF(A58="","","TRUE")</f>
        <v/>
      </c>
      <c r="L58" s="60">
        <f>IF(A58="","","shopify")</f>
        <v/>
      </c>
      <c r="M58" s="60">
        <f>IF(A58="","","deny")</f>
        <v/>
      </c>
      <c r="N58" s="60">
        <f>IF(A58="","","active")</f>
        <v/>
      </c>
      <c r="O58" s="60">
        <f>IF(A58="","",VLOOKUP(E58,Inventory_Live!$A$2:$M$201,4,FALSE))</f>
        <v/>
      </c>
      <c r="P58" s="60">
        <f>IF(A58="","",VLOOKUP(E58,Inventory_Live!$A$2:$M$201,5,FALSE))</f>
        <v/>
      </c>
      <c r="Q58" s="60">
        <f>IF(A58="","",VLOOKUP(E58,Inventory_Live!$A$2:$M$201,6,FALSE))</f>
        <v/>
      </c>
    </row>
    <row r="59">
      <c r="A59" s="60">
        <f>IF(Catalog!N59&lt;&gt;"Yes","",Catalog!B59)</f>
        <v/>
      </c>
      <c r="B59" s="60">
        <f>IF(A59="","",Catalog!C59)</f>
        <v/>
      </c>
      <c r="C59" s="60">
        <f>IF(A59="","",Catalog!H59)</f>
        <v/>
      </c>
      <c r="D59" s="60">
        <f>IF(A59="","",Catalog!I59)</f>
        <v/>
      </c>
      <c r="E59" s="60">
        <f>IF(A59="","",Catalog!A59)</f>
        <v/>
      </c>
      <c r="F59" s="60">
        <f>IF(A59="","",Catalog!J59)</f>
        <v/>
      </c>
      <c r="G59" s="76">
        <f>IF(A59="","",Catalog!L59)</f>
        <v/>
      </c>
      <c r="H59" s="76">
        <f>IF(A59="","",Catalog!K59)</f>
        <v/>
      </c>
      <c r="I59" s="60">
        <f>IF(A59="","",Catalog!F59)</f>
        <v/>
      </c>
      <c r="J59" s="60">
        <f>IF(A59="","",Catalog!G59)</f>
        <v/>
      </c>
      <c r="K59" s="60">
        <f>IF(A59="","","TRUE")</f>
        <v/>
      </c>
      <c r="L59" s="60">
        <f>IF(A59="","","shopify")</f>
        <v/>
      </c>
      <c r="M59" s="60">
        <f>IF(A59="","","deny")</f>
        <v/>
      </c>
      <c r="N59" s="60">
        <f>IF(A59="","","active")</f>
        <v/>
      </c>
      <c r="O59" s="60">
        <f>IF(A59="","",VLOOKUP(E59,Inventory_Live!$A$2:$M$201,4,FALSE))</f>
        <v/>
      </c>
      <c r="P59" s="60">
        <f>IF(A59="","",VLOOKUP(E59,Inventory_Live!$A$2:$M$201,5,FALSE))</f>
        <v/>
      </c>
      <c r="Q59" s="60">
        <f>IF(A59="","",VLOOKUP(E59,Inventory_Live!$A$2:$M$201,6,FALSE))</f>
        <v/>
      </c>
    </row>
    <row r="60">
      <c r="A60" s="60">
        <f>IF(Catalog!N60&lt;&gt;"Yes","",Catalog!B60)</f>
        <v/>
      </c>
      <c r="B60" s="60">
        <f>IF(A60="","",Catalog!C60)</f>
        <v/>
      </c>
      <c r="C60" s="60">
        <f>IF(A60="","",Catalog!H60)</f>
        <v/>
      </c>
      <c r="D60" s="60">
        <f>IF(A60="","",Catalog!I60)</f>
        <v/>
      </c>
      <c r="E60" s="60">
        <f>IF(A60="","",Catalog!A60)</f>
        <v/>
      </c>
      <c r="F60" s="60">
        <f>IF(A60="","",Catalog!J60)</f>
        <v/>
      </c>
      <c r="G60" s="76">
        <f>IF(A60="","",Catalog!L60)</f>
        <v/>
      </c>
      <c r="H60" s="76">
        <f>IF(A60="","",Catalog!K60)</f>
        <v/>
      </c>
      <c r="I60" s="60">
        <f>IF(A60="","",Catalog!F60)</f>
        <v/>
      </c>
      <c r="J60" s="60">
        <f>IF(A60="","",Catalog!G60)</f>
        <v/>
      </c>
      <c r="K60" s="60">
        <f>IF(A60="","","TRUE")</f>
        <v/>
      </c>
      <c r="L60" s="60">
        <f>IF(A60="","","shopify")</f>
        <v/>
      </c>
      <c r="M60" s="60">
        <f>IF(A60="","","deny")</f>
        <v/>
      </c>
      <c r="N60" s="60">
        <f>IF(A60="","","active")</f>
        <v/>
      </c>
      <c r="O60" s="60">
        <f>IF(A60="","",VLOOKUP(E60,Inventory_Live!$A$2:$M$201,4,FALSE))</f>
        <v/>
      </c>
      <c r="P60" s="60">
        <f>IF(A60="","",VLOOKUP(E60,Inventory_Live!$A$2:$M$201,5,FALSE))</f>
        <v/>
      </c>
      <c r="Q60" s="60">
        <f>IF(A60="","",VLOOKUP(E60,Inventory_Live!$A$2:$M$201,6,FALSE))</f>
        <v/>
      </c>
    </row>
    <row r="61">
      <c r="A61" s="60">
        <f>IF(Catalog!N61&lt;&gt;"Yes","",Catalog!B61)</f>
        <v/>
      </c>
      <c r="B61" s="60">
        <f>IF(A61="","",Catalog!C61)</f>
        <v/>
      </c>
      <c r="C61" s="60">
        <f>IF(A61="","",Catalog!H61)</f>
        <v/>
      </c>
      <c r="D61" s="60">
        <f>IF(A61="","",Catalog!I61)</f>
        <v/>
      </c>
      <c r="E61" s="60">
        <f>IF(A61="","",Catalog!A61)</f>
        <v/>
      </c>
      <c r="F61" s="60">
        <f>IF(A61="","",Catalog!J61)</f>
        <v/>
      </c>
      <c r="G61" s="76">
        <f>IF(A61="","",Catalog!L61)</f>
        <v/>
      </c>
      <c r="H61" s="76">
        <f>IF(A61="","",Catalog!K61)</f>
        <v/>
      </c>
      <c r="I61" s="60">
        <f>IF(A61="","",Catalog!F61)</f>
        <v/>
      </c>
      <c r="J61" s="60">
        <f>IF(A61="","",Catalog!G61)</f>
        <v/>
      </c>
      <c r="K61" s="60">
        <f>IF(A61="","","TRUE")</f>
        <v/>
      </c>
      <c r="L61" s="60">
        <f>IF(A61="","","shopify")</f>
        <v/>
      </c>
      <c r="M61" s="60">
        <f>IF(A61="","","deny")</f>
        <v/>
      </c>
      <c r="N61" s="60">
        <f>IF(A61="","","active")</f>
        <v/>
      </c>
      <c r="O61" s="60">
        <f>IF(A61="","",VLOOKUP(E61,Inventory_Live!$A$2:$M$201,4,FALSE))</f>
        <v/>
      </c>
      <c r="P61" s="60">
        <f>IF(A61="","",VLOOKUP(E61,Inventory_Live!$A$2:$M$201,5,FALSE))</f>
        <v/>
      </c>
      <c r="Q61" s="60">
        <f>IF(A61="","",VLOOKUP(E61,Inventory_Live!$A$2:$M$201,6,FALSE))</f>
        <v/>
      </c>
    </row>
    <row r="62">
      <c r="A62" s="60">
        <f>IF(Catalog!N62&lt;&gt;"Yes","",Catalog!B62)</f>
        <v/>
      </c>
      <c r="B62" s="60">
        <f>IF(A62="","",Catalog!C62)</f>
        <v/>
      </c>
      <c r="C62" s="60">
        <f>IF(A62="","",Catalog!H62)</f>
        <v/>
      </c>
      <c r="D62" s="60">
        <f>IF(A62="","",Catalog!I62)</f>
        <v/>
      </c>
      <c r="E62" s="60">
        <f>IF(A62="","",Catalog!A62)</f>
        <v/>
      </c>
      <c r="F62" s="60">
        <f>IF(A62="","",Catalog!J62)</f>
        <v/>
      </c>
      <c r="G62" s="76">
        <f>IF(A62="","",Catalog!L62)</f>
        <v/>
      </c>
      <c r="H62" s="76">
        <f>IF(A62="","",Catalog!K62)</f>
        <v/>
      </c>
      <c r="I62" s="60">
        <f>IF(A62="","",Catalog!F62)</f>
        <v/>
      </c>
      <c r="J62" s="60">
        <f>IF(A62="","",Catalog!G62)</f>
        <v/>
      </c>
      <c r="K62" s="60">
        <f>IF(A62="","","TRUE")</f>
        <v/>
      </c>
      <c r="L62" s="60">
        <f>IF(A62="","","shopify")</f>
        <v/>
      </c>
      <c r="M62" s="60">
        <f>IF(A62="","","deny")</f>
        <v/>
      </c>
      <c r="N62" s="60">
        <f>IF(A62="","","active")</f>
        <v/>
      </c>
      <c r="O62" s="60">
        <f>IF(A62="","",VLOOKUP(E62,Inventory_Live!$A$2:$M$201,4,FALSE))</f>
        <v/>
      </c>
      <c r="P62" s="60">
        <f>IF(A62="","",VLOOKUP(E62,Inventory_Live!$A$2:$M$201,5,FALSE))</f>
        <v/>
      </c>
      <c r="Q62" s="60">
        <f>IF(A62="","",VLOOKUP(E62,Inventory_Live!$A$2:$M$201,6,FALSE))</f>
        <v/>
      </c>
    </row>
    <row r="63">
      <c r="A63" s="60">
        <f>IF(Catalog!N63&lt;&gt;"Yes","",Catalog!B63)</f>
        <v/>
      </c>
      <c r="B63" s="60">
        <f>IF(A63="","",Catalog!C63)</f>
        <v/>
      </c>
      <c r="C63" s="60">
        <f>IF(A63="","",Catalog!H63)</f>
        <v/>
      </c>
      <c r="D63" s="60">
        <f>IF(A63="","",Catalog!I63)</f>
        <v/>
      </c>
      <c r="E63" s="60">
        <f>IF(A63="","",Catalog!A63)</f>
        <v/>
      </c>
      <c r="F63" s="60">
        <f>IF(A63="","",Catalog!J63)</f>
        <v/>
      </c>
      <c r="G63" s="76">
        <f>IF(A63="","",Catalog!L63)</f>
        <v/>
      </c>
      <c r="H63" s="76">
        <f>IF(A63="","",Catalog!K63)</f>
        <v/>
      </c>
      <c r="I63" s="60">
        <f>IF(A63="","",Catalog!F63)</f>
        <v/>
      </c>
      <c r="J63" s="60">
        <f>IF(A63="","",Catalog!G63)</f>
        <v/>
      </c>
      <c r="K63" s="60">
        <f>IF(A63="","","TRUE")</f>
        <v/>
      </c>
      <c r="L63" s="60">
        <f>IF(A63="","","shopify")</f>
        <v/>
      </c>
      <c r="M63" s="60">
        <f>IF(A63="","","deny")</f>
        <v/>
      </c>
      <c r="N63" s="60">
        <f>IF(A63="","","active")</f>
        <v/>
      </c>
      <c r="O63" s="60">
        <f>IF(A63="","",VLOOKUP(E63,Inventory_Live!$A$2:$M$201,4,FALSE))</f>
        <v/>
      </c>
      <c r="P63" s="60">
        <f>IF(A63="","",VLOOKUP(E63,Inventory_Live!$A$2:$M$201,5,FALSE))</f>
        <v/>
      </c>
      <c r="Q63" s="60">
        <f>IF(A63="","",VLOOKUP(E63,Inventory_Live!$A$2:$M$201,6,FALSE))</f>
        <v/>
      </c>
    </row>
    <row r="64">
      <c r="A64" s="60">
        <f>IF(Catalog!N64&lt;&gt;"Yes","",Catalog!B64)</f>
        <v/>
      </c>
      <c r="B64" s="60">
        <f>IF(A64="","",Catalog!C64)</f>
        <v/>
      </c>
      <c r="C64" s="60">
        <f>IF(A64="","",Catalog!H64)</f>
        <v/>
      </c>
      <c r="D64" s="60">
        <f>IF(A64="","",Catalog!I64)</f>
        <v/>
      </c>
      <c r="E64" s="60">
        <f>IF(A64="","",Catalog!A64)</f>
        <v/>
      </c>
      <c r="F64" s="60">
        <f>IF(A64="","",Catalog!J64)</f>
        <v/>
      </c>
      <c r="G64" s="76">
        <f>IF(A64="","",Catalog!L64)</f>
        <v/>
      </c>
      <c r="H64" s="76">
        <f>IF(A64="","",Catalog!K64)</f>
        <v/>
      </c>
      <c r="I64" s="60">
        <f>IF(A64="","",Catalog!F64)</f>
        <v/>
      </c>
      <c r="J64" s="60">
        <f>IF(A64="","",Catalog!G64)</f>
        <v/>
      </c>
      <c r="K64" s="60">
        <f>IF(A64="","","TRUE")</f>
        <v/>
      </c>
      <c r="L64" s="60">
        <f>IF(A64="","","shopify")</f>
        <v/>
      </c>
      <c r="M64" s="60">
        <f>IF(A64="","","deny")</f>
        <v/>
      </c>
      <c r="N64" s="60">
        <f>IF(A64="","","active")</f>
        <v/>
      </c>
      <c r="O64" s="60">
        <f>IF(A64="","",VLOOKUP(E64,Inventory_Live!$A$2:$M$201,4,FALSE))</f>
        <v/>
      </c>
      <c r="P64" s="60">
        <f>IF(A64="","",VLOOKUP(E64,Inventory_Live!$A$2:$M$201,5,FALSE))</f>
        <v/>
      </c>
      <c r="Q64" s="60">
        <f>IF(A64="","",VLOOKUP(E64,Inventory_Live!$A$2:$M$201,6,FALSE))</f>
        <v/>
      </c>
    </row>
    <row r="65">
      <c r="A65" s="60">
        <f>IF(Catalog!N65&lt;&gt;"Yes","",Catalog!B65)</f>
        <v/>
      </c>
      <c r="B65" s="60">
        <f>IF(A65="","",Catalog!C65)</f>
        <v/>
      </c>
      <c r="C65" s="60">
        <f>IF(A65="","",Catalog!H65)</f>
        <v/>
      </c>
      <c r="D65" s="60">
        <f>IF(A65="","",Catalog!I65)</f>
        <v/>
      </c>
      <c r="E65" s="60">
        <f>IF(A65="","",Catalog!A65)</f>
        <v/>
      </c>
      <c r="F65" s="60">
        <f>IF(A65="","",Catalog!J65)</f>
        <v/>
      </c>
      <c r="G65" s="76">
        <f>IF(A65="","",Catalog!L65)</f>
        <v/>
      </c>
      <c r="H65" s="76">
        <f>IF(A65="","",Catalog!K65)</f>
        <v/>
      </c>
      <c r="I65" s="60">
        <f>IF(A65="","",Catalog!F65)</f>
        <v/>
      </c>
      <c r="J65" s="60">
        <f>IF(A65="","",Catalog!G65)</f>
        <v/>
      </c>
      <c r="K65" s="60">
        <f>IF(A65="","","TRUE")</f>
        <v/>
      </c>
      <c r="L65" s="60">
        <f>IF(A65="","","shopify")</f>
        <v/>
      </c>
      <c r="M65" s="60">
        <f>IF(A65="","","deny")</f>
        <v/>
      </c>
      <c r="N65" s="60">
        <f>IF(A65="","","active")</f>
        <v/>
      </c>
      <c r="O65" s="60">
        <f>IF(A65="","",VLOOKUP(E65,Inventory_Live!$A$2:$M$201,4,FALSE))</f>
        <v/>
      </c>
      <c r="P65" s="60">
        <f>IF(A65="","",VLOOKUP(E65,Inventory_Live!$A$2:$M$201,5,FALSE))</f>
        <v/>
      </c>
      <c r="Q65" s="60">
        <f>IF(A65="","",VLOOKUP(E65,Inventory_Live!$A$2:$M$201,6,FALSE))</f>
        <v/>
      </c>
    </row>
    <row r="66">
      <c r="A66" s="60">
        <f>IF(Catalog!N66&lt;&gt;"Yes","",Catalog!B66)</f>
        <v/>
      </c>
      <c r="B66" s="60">
        <f>IF(A66="","",Catalog!C66)</f>
        <v/>
      </c>
      <c r="C66" s="60">
        <f>IF(A66="","",Catalog!H66)</f>
        <v/>
      </c>
      <c r="D66" s="60">
        <f>IF(A66="","",Catalog!I66)</f>
        <v/>
      </c>
      <c r="E66" s="60">
        <f>IF(A66="","",Catalog!A66)</f>
        <v/>
      </c>
      <c r="F66" s="60">
        <f>IF(A66="","",Catalog!J66)</f>
        <v/>
      </c>
      <c r="G66" s="76">
        <f>IF(A66="","",Catalog!L66)</f>
        <v/>
      </c>
      <c r="H66" s="76">
        <f>IF(A66="","",Catalog!K66)</f>
        <v/>
      </c>
      <c r="I66" s="60">
        <f>IF(A66="","",Catalog!F66)</f>
        <v/>
      </c>
      <c r="J66" s="60">
        <f>IF(A66="","",Catalog!G66)</f>
        <v/>
      </c>
      <c r="K66" s="60">
        <f>IF(A66="","","TRUE")</f>
        <v/>
      </c>
      <c r="L66" s="60">
        <f>IF(A66="","","shopify")</f>
        <v/>
      </c>
      <c r="M66" s="60">
        <f>IF(A66="","","deny")</f>
        <v/>
      </c>
      <c r="N66" s="60">
        <f>IF(A66="","","active")</f>
        <v/>
      </c>
      <c r="O66" s="60">
        <f>IF(A66="","",VLOOKUP(E66,Inventory_Live!$A$2:$M$201,4,FALSE))</f>
        <v/>
      </c>
      <c r="P66" s="60">
        <f>IF(A66="","",VLOOKUP(E66,Inventory_Live!$A$2:$M$201,5,FALSE))</f>
        <v/>
      </c>
      <c r="Q66" s="60">
        <f>IF(A66="","",VLOOKUP(E66,Inventory_Live!$A$2:$M$201,6,FALSE))</f>
        <v/>
      </c>
    </row>
    <row r="67">
      <c r="A67" s="60">
        <f>IF(Catalog!N67&lt;&gt;"Yes","",Catalog!B67)</f>
        <v/>
      </c>
      <c r="B67" s="60">
        <f>IF(A67="","",Catalog!C67)</f>
        <v/>
      </c>
      <c r="C67" s="60">
        <f>IF(A67="","",Catalog!H67)</f>
        <v/>
      </c>
      <c r="D67" s="60">
        <f>IF(A67="","",Catalog!I67)</f>
        <v/>
      </c>
      <c r="E67" s="60">
        <f>IF(A67="","",Catalog!A67)</f>
        <v/>
      </c>
      <c r="F67" s="60">
        <f>IF(A67="","",Catalog!J67)</f>
        <v/>
      </c>
      <c r="G67" s="76">
        <f>IF(A67="","",Catalog!L67)</f>
        <v/>
      </c>
      <c r="H67" s="76">
        <f>IF(A67="","",Catalog!K67)</f>
        <v/>
      </c>
      <c r="I67" s="60">
        <f>IF(A67="","",Catalog!F67)</f>
        <v/>
      </c>
      <c r="J67" s="60">
        <f>IF(A67="","",Catalog!G67)</f>
        <v/>
      </c>
      <c r="K67" s="60">
        <f>IF(A67="","","TRUE")</f>
        <v/>
      </c>
      <c r="L67" s="60">
        <f>IF(A67="","","shopify")</f>
        <v/>
      </c>
      <c r="M67" s="60">
        <f>IF(A67="","","deny")</f>
        <v/>
      </c>
      <c r="N67" s="60">
        <f>IF(A67="","","active")</f>
        <v/>
      </c>
      <c r="O67" s="60">
        <f>IF(A67="","",VLOOKUP(E67,Inventory_Live!$A$2:$M$201,4,FALSE))</f>
        <v/>
      </c>
      <c r="P67" s="60">
        <f>IF(A67="","",VLOOKUP(E67,Inventory_Live!$A$2:$M$201,5,FALSE))</f>
        <v/>
      </c>
      <c r="Q67" s="60">
        <f>IF(A67="","",VLOOKUP(E67,Inventory_Live!$A$2:$M$201,6,FALSE))</f>
        <v/>
      </c>
    </row>
    <row r="68">
      <c r="A68" s="60">
        <f>IF(Catalog!N68&lt;&gt;"Yes","",Catalog!B68)</f>
        <v/>
      </c>
      <c r="B68" s="60">
        <f>IF(A68="","",Catalog!C68)</f>
        <v/>
      </c>
      <c r="C68" s="60">
        <f>IF(A68="","",Catalog!H68)</f>
        <v/>
      </c>
      <c r="D68" s="60">
        <f>IF(A68="","",Catalog!I68)</f>
        <v/>
      </c>
      <c r="E68" s="60">
        <f>IF(A68="","",Catalog!A68)</f>
        <v/>
      </c>
      <c r="F68" s="60">
        <f>IF(A68="","",Catalog!J68)</f>
        <v/>
      </c>
      <c r="G68" s="76">
        <f>IF(A68="","",Catalog!L68)</f>
        <v/>
      </c>
      <c r="H68" s="76">
        <f>IF(A68="","",Catalog!K68)</f>
        <v/>
      </c>
      <c r="I68" s="60">
        <f>IF(A68="","",Catalog!F68)</f>
        <v/>
      </c>
      <c r="J68" s="60">
        <f>IF(A68="","",Catalog!G68)</f>
        <v/>
      </c>
      <c r="K68" s="60">
        <f>IF(A68="","","TRUE")</f>
        <v/>
      </c>
      <c r="L68" s="60">
        <f>IF(A68="","","shopify")</f>
        <v/>
      </c>
      <c r="M68" s="60">
        <f>IF(A68="","","deny")</f>
        <v/>
      </c>
      <c r="N68" s="60">
        <f>IF(A68="","","active")</f>
        <v/>
      </c>
      <c r="O68" s="60">
        <f>IF(A68="","",VLOOKUP(E68,Inventory_Live!$A$2:$M$201,4,FALSE))</f>
        <v/>
      </c>
      <c r="P68" s="60">
        <f>IF(A68="","",VLOOKUP(E68,Inventory_Live!$A$2:$M$201,5,FALSE))</f>
        <v/>
      </c>
      <c r="Q68" s="60">
        <f>IF(A68="","",VLOOKUP(E68,Inventory_Live!$A$2:$M$201,6,FALSE))</f>
        <v/>
      </c>
    </row>
    <row r="69">
      <c r="A69" s="60">
        <f>IF(Catalog!N69&lt;&gt;"Yes","",Catalog!B69)</f>
        <v/>
      </c>
      <c r="B69" s="60">
        <f>IF(A69="","",Catalog!C69)</f>
        <v/>
      </c>
      <c r="C69" s="60">
        <f>IF(A69="","",Catalog!H69)</f>
        <v/>
      </c>
      <c r="D69" s="60">
        <f>IF(A69="","",Catalog!I69)</f>
        <v/>
      </c>
      <c r="E69" s="60">
        <f>IF(A69="","",Catalog!A69)</f>
        <v/>
      </c>
      <c r="F69" s="60">
        <f>IF(A69="","",Catalog!J69)</f>
        <v/>
      </c>
      <c r="G69" s="76">
        <f>IF(A69="","",Catalog!L69)</f>
        <v/>
      </c>
      <c r="H69" s="76">
        <f>IF(A69="","",Catalog!K69)</f>
        <v/>
      </c>
      <c r="I69" s="60">
        <f>IF(A69="","",Catalog!F69)</f>
        <v/>
      </c>
      <c r="J69" s="60">
        <f>IF(A69="","",Catalog!G69)</f>
        <v/>
      </c>
      <c r="K69" s="60">
        <f>IF(A69="","","TRUE")</f>
        <v/>
      </c>
      <c r="L69" s="60">
        <f>IF(A69="","","shopify")</f>
        <v/>
      </c>
      <c r="M69" s="60">
        <f>IF(A69="","","deny")</f>
        <v/>
      </c>
      <c r="N69" s="60">
        <f>IF(A69="","","active")</f>
        <v/>
      </c>
      <c r="O69" s="60">
        <f>IF(A69="","",VLOOKUP(E69,Inventory_Live!$A$2:$M$201,4,FALSE))</f>
        <v/>
      </c>
      <c r="P69" s="60">
        <f>IF(A69="","",VLOOKUP(E69,Inventory_Live!$A$2:$M$201,5,FALSE))</f>
        <v/>
      </c>
      <c r="Q69" s="60">
        <f>IF(A69="","",VLOOKUP(E69,Inventory_Live!$A$2:$M$201,6,FALSE))</f>
        <v/>
      </c>
    </row>
    <row r="70">
      <c r="A70" s="60">
        <f>IF(Catalog!N70&lt;&gt;"Yes","",Catalog!B70)</f>
        <v/>
      </c>
      <c r="B70" s="60">
        <f>IF(A70="","",Catalog!C70)</f>
        <v/>
      </c>
      <c r="C70" s="60">
        <f>IF(A70="","",Catalog!H70)</f>
        <v/>
      </c>
      <c r="D70" s="60">
        <f>IF(A70="","",Catalog!I70)</f>
        <v/>
      </c>
      <c r="E70" s="60">
        <f>IF(A70="","",Catalog!A70)</f>
        <v/>
      </c>
      <c r="F70" s="60">
        <f>IF(A70="","",Catalog!J70)</f>
        <v/>
      </c>
      <c r="G70" s="76">
        <f>IF(A70="","",Catalog!L70)</f>
        <v/>
      </c>
      <c r="H70" s="76">
        <f>IF(A70="","",Catalog!K70)</f>
        <v/>
      </c>
      <c r="I70" s="60">
        <f>IF(A70="","",Catalog!F70)</f>
        <v/>
      </c>
      <c r="J70" s="60">
        <f>IF(A70="","",Catalog!G70)</f>
        <v/>
      </c>
      <c r="K70" s="60">
        <f>IF(A70="","","TRUE")</f>
        <v/>
      </c>
      <c r="L70" s="60">
        <f>IF(A70="","","shopify")</f>
        <v/>
      </c>
      <c r="M70" s="60">
        <f>IF(A70="","","deny")</f>
        <v/>
      </c>
      <c r="N70" s="60">
        <f>IF(A70="","","active")</f>
        <v/>
      </c>
      <c r="O70" s="60">
        <f>IF(A70="","",VLOOKUP(E70,Inventory_Live!$A$2:$M$201,4,FALSE))</f>
        <v/>
      </c>
      <c r="P70" s="60">
        <f>IF(A70="","",VLOOKUP(E70,Inventory_Live!$A$2:$M$201,5,FALSE))</f>
        <v/>
      </c>
      <c r="Q70" s="60">
        <f>IF(A70="","",VLOOKUP(E70,Inventory_Live!$A$2:$M$201,6,FALSE))</f>
        <v/>
      </c>
    </row>
    <row r="71">
      <c r="A71" s="60">
        <f>IF(Catalog!N71&lt;&gt;"Yes","",Catalog!B71)</f>
        <v/>
      </c>
      <c r="B71" s="60">
        <f>IF(A71="","",Catalog!C71)</f>
        <v/>
      </c>
      <c r="C71" s="60">
        <f>IF(A71="","",Catalog!H71)</f>
        <v/>
      </c>
      <c r="D71" s="60">
        <f>IF(A71="","",Catalog!I71)</f>
        <v/>
      </c>
      <c r="E71" s="60">
        <f>IF(A71="","",Catalog!A71)</f>
        <v/>
      </c>
      <c r="F71" s="60">
        <f>IF(A71="","",Catalog!J71)</f>
        <v/>
      </c>
      <c r="G71" s="76">
        <f>IF(A71="","",Catalog!L71)</f>
        <v/>
      </c>
      <c r="H71" s="76">
        <f>IF(A71="","",Catalog!K71)</f>
        <v/>
      </c>
      <c r="I71" s="60">
        <f>IF(A71="","",Catalog!F71)</f>
        <v/>
      </c>
      <c r="J71" s="60">
        <f>IF(A71="","",Catalog!G71)</f>
        <v/>
      </c>
      <c r="K71" s="60">
        <f>IF(A71="","","TRUE")</f>
        <v/>
      </c>
      <c r="L71" s="60">
        <f>IF(A71="","","shopify")</f>
        <v/>
      </c>
      <c r="M71" s="60">
        <f>IF(A71="","","deny")</f>
        <v/>
      </c>
      <c r="N71" s="60">
        <f>IF(A71="","","active")</f>
        <v/>
      </c>
      <c r="O71" s="60">
        <f>IF(A71="","",VLOOKUP(E71,Inventory_Live!$A$2:$M$201,4,FALSE))</f>
        <v/>
      </c>
      <c r="P71" s="60">
        <f>IF(A71="","",VLOOKUP(E71,Inventory_Live!$A$2:$M$201,5,FALSE))</f>
        <v/>
      </c>
      <c r="Q71" s="60">
        <f>IF(A71="","",VLOOKUP(E71,Inventory_Live!$A$2:$M$201,6,FALSE))</f>
        <v/>
      </c>
    </row>
    <row r="72">
      <c r="A72" s="60">
        <f>IF(Catalog!N72&lt;&gt;"Yes","",Catalog!B72)</f>
        <v/>
      </c>
      <c r="B72" s="60">
        <f>IF(A72="","",Catalog!C72)</f>
        <v/>
      </c>
      <c r="C72" s="60">
        <f>IF(A72="","",Catalog!H72)</f>
        <v/>
      </c>
      <c r="D72" s="60">
        <f>IF(A72="","",Catalog!I72)</f>
        <v/>
      </c>
      <c r="E72" s="60">
        <f>IF(A72="","",Catalog!A72)</f>
        <v/>
      </c>
      <c r="F72" s="60">
        <f>IF(A72="","",Catalog!J72)</f>
        <v/>
      </c>
      <c r="G72" s="76">
        <f>IF(A72="","",Catalog!L72)</f>
        <v/>
      </c>
      <c r="H72" s="76">
        <f>IF(A72="","",Catalog!K72)</f>
        <v/>
      </c>
      <c r="I72" s="60">
        <f>IF(A72="","",Catalog!F72)</f>
        <v/>
      </c>
      <c r="J72" s="60">
        <f>IF(A72="","",Catalog!G72)</f>
        <v/>
      </c>
      <c r="K72" s="60">
        <f>IF(A72="","","TRUE")</f>
        <v/>
      </c>
      <c r="L72" s="60">
        <f>IF(A72="","","shopify")</f>
        <v/>
      </c>
      <c r="M72" s="60">
        <f>IF(A72="","","deny")</f>
        <v/>
      </c>
      <c r="N72" s="60">
        <f>IF(A72="","","active")</f>
        <v/>
      </c>
      <c r="O72" s="60">
        <f>IF(A72="","",VLOOKUP(E72,Inventory_Live!$A$2:$M$201,4,FALSE))</f>
        <v/>
      </c>
      <c r="P72" s="60">
        <f>IF(A72="","",VLOOKUP(E72,Inventory_Live!$A$2:$M$201,5,FALSE))</f>
        <v/>
      </c>
      <c r="Q72" s="60">
        <f>IF(A72="","",VLOOKUP(E72,Inventory_Live!$A$2:$M$201,6,FALSE))</f>
        <v/>
      </c>
    </row>
    <row r="73">
      <c r="A73" s="60">
        <f>IF(Catalog!N73&lt;&gt;"Yes","",Catalog!B73)</f>
        <v/>
      </c>
      <c r="B73" s="60">
        <f>IF(A73="","",Catalog!C73)</f>
        <v/>
      </c>
      <c r="C73" s="60">
        <f>IF(A73="","",Catalog!H73)</f>
        <v/>
      </c>
      <c r="D73" s="60">
        <f>IF(A73="","",Catalog!I73)</f>
        <v/>
      </c>
      <c r="E73" s="60">
        <f>IF(A73="","",Catalog!A73)</f>
        <v/>
      </c>
      <c r="F73" s="60">
        <f>IF(A73="","",Catalog!J73)</f>
        <v/>
      </c>
      <c r="G73" s="76">
        <f>IF(A73="","",Catalog!L73)</f>
        <v/>
      </c>
      <c r="H73" s="76">
        <f>IF(A73="","",Catalog!K73)</f>
        <v/>
      </c>
      <c r="I73" s="60">
        <f>IF(A73="","",Catalog!F73)</f>
        <v/>
      </c>
      <c r="J73" s="60">
        <f>IF(A73="","",Catalog!G73)</f>
        <v/>
      </c>
      <c r="K73" s="60">
        <f>IF(A73="","","TRUE")</f>
        <v/>
      </c>
      <c r="L73" s="60">
        <f>IF(A73="","","shopify")</f>
        <v/>
      </c>
      <c r="M73" s="60">
        <f>IF(A73="","","deny")</f>
        <v/>
      </c>
      <c r="N73" s="60">
        <f>IF(A73="","","active")</f>
        <v/>
      </c>
      <c r="O73" s="60">
        <f>IF(A73="","",VLOOKUP(E73,Inventory_Live!$A$2:$M$201,4,FALSE))</f>
        <v/>
      </c>
      <c r="P73" s="60">
        <f>IF(A73="","",VLOOKUP(E73,Inventory_Live!$A$2:$M$201,5,FALSE))</f>
        <v/>
      </c>
      <c r="Q73" s="60">
        <f>IF(A73="","",VLOOKUP(E73,Inventory_Live!$A$2:$M$201,6,FALSE))</f>
        <v/>
      </c>
    </row>
    <row r="74">
      <c r="A74" s="60">
        <f>IF(Catalog!N74&lt;&gt;"Yes","",Catalog!B74)</f>
        <v/>
      </c>
      <c r="B74" s="60">
        <f>IF(A74="","",Catalog!C74)</f>
        <v/>
      </c>
      <c r="C74" s="60">
        <f>IF(A74="","",Catalog!H74)</f>
        <v/>
      </c>
      <c r="D74" s="60">
        <f>IF(A74="","",Catalog!I74)</f>
        <v/>
      </c>
      <c r="E74" s="60">
        <f>IF(A74="","",Catalog!A74)</f>
        <v/>
      </c>
      <c r="F74" s="60">
        <f>IF(A74="","",Catalog!J74)</f>
        <v/>
      </c>
      <c r="G74" s="76">
        <f>IF(A74="","",Catalog!L74)</f>
        <v/>
      </c>
      <c r="H74" s="76">
        <f>IF(A74="","",Catalog!K74)</f>
        <v/>
      </c>
      <c r="I74" s="60">
        <f>IF(A74="","",Catalog!F74)</f>
        <v/>
      </c>
      <c r="J74" s="60">
        <f>IF(A74="","",Catalog!G74)</f>
        <v/>
      </c>
      <c r="K74" s="60">
        <f>IF(A74="","","TRUE")</f>
        <v/>
      </c>
      <c r="L74" s="60">
        <f>IF(A74="","","shopify")</f>
        <v/>
      </c>
      <c r="M74" s="60">
        <f>IF(A74="","","deny")</f>
        <v/>
      </c>
      <c r="N74" s="60">
        <f>IF(A74="","","active")</f>
        <v/>
      </c>
      <c r="O74" s="60">
        <f>IF(A74="","",VLOOKUP(E74,Inventory_Live!$A$2:$M$201,4,FALSE))</f>
        <v/>
      </c>
      <c r="P74" s="60">
        <f>IF(A74="","",VLOOKUP(E74,Inventory_Live!$A$2:$M$201,5,FALSE))</f>
        <v/>
      </c>
      <c r="Q74" s="60">
        <f>IF(A74="","",VLOOKUP(E74,Inventory_Live!$A$2:$M$201,6,FALSE))</f>
        <v/>
      </c>
    </row>
    <row r="75">
      <c r="A75" s="60">
        <f>IF(Catalog!N75&lt;&gt;"Yes","",Catalog!B75)</f>
        <v/>
      </c>
      <c r="B75" s="60">
        <f>IF(A75="","",Catalog!C75)</f>
        <v/>
      </c>
      <c r="C75" s="60">
        <f>IF(A75="","",Catalog!H75)</f>
        <v/>
      </c>
      <c r="D75" s="60">
        <f>IF(A75="","",Catalog!I75)</f>
        <v/>
      </c>
      <c r="E75" s="60">
        <f>IF(A75="","",Catalog!A75)</f>
        <v/>
      </c>
      <c r="F75" s="60">
        <f>IF(A75="","",Catalog!J75)</f>
        <v/>
      </c>
      <c r="G75" s="76">
        <f>IF(A75="","",Catalog!L75)</f>
        <v/>
      </c>
      <c r="H75" s="76">
        <f>IF(A75="","",Catalog!K75)</f>
        <v/>
      </c>
      <c r="I75" s="60">
        <f>IF(A75="","",Catalog!F75)</f>
        <v/>
      </c>
      <c r="J75" s="60">
        <f>IF(A75="","",Catalog!G75)</f>
        <v/>
      </c>
      <c r="K75" s="60">
        <f>IF(A75="","","TRUE")</f>
        <v/>
      </c>
      <c r="L75" s="60">
        <f>IF(A75="","","shopify")</f>
        <v/>
      </c>
      <c r="M75" s="60">
        <f>IF(A75="","","deny")</f>
        <v/>
      </c>
      <c r="N75" s="60">
        <f>IF(A75="","","active")</f>
        <v/>
      </c>
      <c r="O75" s="60">
        <f>IF(A75="","",VLOOKUP(E75,Inventory_Live!$A$2:$M$201,4,FALSE))</f>
        <v/>
      </c>
      <c r="P75" s="60">
        <f>IF(A75="","",VLOOKUP(E75,Inventory_Live!$A$2:$M$201,5,FALSE))</f>
        <v/>
      </c>
      <c r="Q75" s="60">
        <f>IF(A75="","",VLOOKUP(E75,Inventory_Live!$A$2:$M$201,6,FALSE))</f>
        <v/>
      </c>
    </row>
    <row r="76">
      <c r="A76" s="60">
        <f>IF(Catalog!N76&lt;&gt;"Yes","",Catalog!B76)</f>
        <v/>
      </c>
      <c r="B76" s="60">
        <f>IF(A76="","",Catalog!C76)</f>
        <v/>
      </c>
      <c r="C76" s="60">
        <f>IF(A76="","",Catalog!H76)</f>
        <v/>
      </c>
      <c r="D76" s="60">
        <f>IF(A76="","",Catalog!I76)</f>
        <v/>
      </c>
      <c r="E76" s="60">
        <f>IF(A76="","",Catalog!A76)</f>
        <v/>
      </c>
      <c r="F76" s="60">
        <f>IF(A76="","",Catalog!J76)</f>
        <v/>
      </c>
      <c r="G76" s="76">
        <f>IF(A76="","",Catalog!L76)</f>
        <v/>
      </c>
      <c r="H76" s="76">
        <f>IF(A76="","",Catalog!K76)</f>
        <v/>
      </c>
      <c r="I76" s="60">
        <f>IF(A76="","",Catalog!F76)</f>
        <v/>
      </c>
      <c r="J76" s="60">
        <f>IF(A76="","",Catalog!G76)</f>
        <v/>
      </c>
      <c r="K76" s="60">
        <f>IF(A76="","","TRUE")</f>
        <v/>
      </c>
      <c r="L76" s="60">
        <f>IF(A76="","","shopify")</f>
        <v/>
      </c>
      <c r="M76" s="60">
        <f>IF(A76="","","deny")</f>
        <v/>
      </c>
      <c r="N76" s="60">
        <f>IF(A76="","","active")</f>
        <v/>
      </c>
      <c r="O76" s="60">
        <f>IF(A76="","",VLOOKUP(E76,Inventory_Live!$A$2:$M$201,4,FALSE))</f>
        <v/>
      </c>
      <c r="P76" s="60">
        <f>IF(A76="","",VLOOKUP(E76,Inventory_Live!$A$2:$M$201,5,FALSE))</f>
        <v/>
      </c>
      <c r="Q76" s="60">
        <f>IF(A76="","",VLOOKUP(E76,Inventory_Live!$A$2:$M$201,6,FALSE))</f>
        <v/>
      </c>
    </row>
    <row r="77">
      <c r="A77" s="60">
        <f>IF(Catalog!N77&lt;&gt;"Yes","",Catalog!B77)</f>
        <v/>
      </c>
      <c r="B77" s="60">
        <f>IF(A77="","",Catalog!C77)</f>
        <v/>
      </c>
      <c r="C77" s="60">
        <f>IF(A77="","",Catalog!H77)</f>
        <v/>
      </c>
      <c r="D77" s="60">
        <f>IF(A77="","",Catalog!I77)</f>
        <v/>
      </c>
      <c r="E77" s="60">
        <f>IF(A77="","",Catalog!A77)</f>
        <v/>
      </c>
      <c r="F77" s="60">
        <f>IF(A77="","",Catalog!J77)</f>
        <v/>
      </c>
      <c r="G77" s="76">
        <f>IF(A77="","",Catalog!L77)</f>
        <v/>
      </c>
      <c r="H77" s="76">
        <f>IF(A77="","",Catalog!K77)</f>
        <v/>
      </c>
      <c r="I77" s="60">
        <f>IF(A77="","",Catalog!F77)</f>
        <v/>
      </c>
      <c r="J77" s="60">
        <f>IF(A77="","",Catalog!G77)</f>
        <v/>
      </c>
      <c r="K77" s="60">
        <f>IF(A77="","","TRUE")</f>
        <v/>
      </c>
      <c r="L77" s="60">
        <f>IF(A77="","","shopify")</f>
        <v/>
      </c>
      <c r="M77" s="60">
        <f>IF(A77="","","deny")</f>
        <v/>
      </c>
      <c r="N77" s="60">
        <f>IF(A77="","","active")</f>
        <v/>
      </c>
      <c r="O77" s="60">
        <f>IF(A77="","",VLOOKUP(E77,Inventory_Live!$A$2:$M$201,4,FALSE))</f>
        <v/>
      </c>
      <c r="P77" s="60">
        <f>IF(A77="","",VLOOKUP(E77,Inventory_Live!$A$2:$M$201,5,FALSE))</f>
        <v/>
      </c>
      <c r="Q77" s="60">
        <f>IF(A77="","",VLOOKUP(E77,Inventory_Live!$A$2:$M$201,6,FALSE))</f>
        <v/>
      </c>
    </row>
    <row r="78">
      <c r="A78" s="60">
        <f>IF(Catalog!N78&lt;&gt;"Yes","",Catalog!B78)</f>
        <v/>
      </c>
      <c r="B78" s="60">
        <f>IF(A78="","",Catalog!C78)</f>
        <v/>
      </c>
      <c r="C78" s="60">
        <f>IF(A78="","",Catalog!H78)</f>
        <v/>
      </c>
      <c r="D78" s="60">
        <f>IF(A78="","",Catalog!I78)</f>
        <v/>
      </c>
      <c r="E78" s="60">
        <f>IF(A78="","",Catalog!A78)</f>
        <v/>
      </c>
      <c r="F78" s="60">
        <f>IF(A78="","",Catalog!J78)</f>
        <v/>
      </c>
      <c r="G78" s="76">
        <f>IF(A78="","",Catalog!L78)</f>
        <v/>
      </c>
      <c r="H78" s="76">
        <f>IF(A78="","",Catalog!K78)</f>
        <v/>
      </c>
      <c r="I78" s="60">
        <f>IF(A78="","",Catalog!F78)</f>
        <v/>
      </c>
      <c r="J78" s="60">
        <f>IF(A78="","",Catalog!G78)</f>
        <v/>
      </c>
      <c r="K78" s="60">
        <f>IF(A78="","","TRUE")</f>
        <v/>
      </c>
      <c r="L78" s="60">
        <f>IF(A78="","","shopify")</f>
        <v/>
      </c>
      <c r="M78" s="60">
        <f>IF(A78="","","deny")</f>
        <v/>
      </c>
      <c r="N78" s="60">
        <f>IF(A78="","","active")</f>
        <v/>
      </c>
      <c r="O78" s="60">
        <f>IF(A78="","",VLOOKUP(E78,Inventory_Live!$A$2:$M$201,4,FALSE))</f>
        <v/>
      </c>
      <c r="P78" s="60">
        <f>IF(A78="","",VLOOKUP(E78,Inventory_Live!$A$2:$M$201,5,FALSE))</f>
        <v/>
      </c>
      <c r="Q78" s="60">
        <f>IF(A78="","",VLOOKUP(E78,Inventory_Live!$A$2:$M$201,6,FALSE))</f>
        <v/>
      </c>
    </row>
    <row r="79">
      <c r="A79" s="60">
        <f>IF(Catalog!N79&lt;&gt;"Yes","",Catalog!B79)</f>
        <v/>
      </c>
      <c r="B79" s="60">
        <f>IF(A79="","",Catalog!C79)</f>
        <v/>
      </c>
      <c r="C79" s="60">
        <f>IF(A79="","",Catalog!H79)</f>
        <v/>
      </c>
      <c r="D79" s="60">
        <f>IF(A79="","",Catalog!I79)</f>
        <v/>
      </c>
      <c r="E79" s="60">
        <f>IF(A79="","",Catalog!A79)</f>
        <v/>
      </c>
      <c r="F79" s="60">
        <f>IF(A79="","",Catalog!J79)</f>
        <v/>
      </c>
      <c r="G79" s="76">
        <f>IF(A79="","",Catalog!L79)</f>
        <v/>
      </c>
      <c r="H79" s="76">
        <f>IF(A79="","",Catalog!K79)</f>
        <v/>
      </c>
      <c r="I79" s="60">
        <f>IF(A79="","",Catalog!F79)</f>
        <v/>
      </c>
      <c r="J79" s="60">
        <f>IF(A79="","",Catalog!G79)</f>
        <v/>
      </c>
      <c r="K79" s="60">
        <f>IF(A79="","","TRUE")</f>
        <v/>
      </c>
      <c r="L79" s="60">
        <f>IF(A79="","","shopify")</f>
        <v/>
      </c>
      <c r="M79" s="60">
        <f>IF(A79="","","deny")</f>
        <v/>
      </c>
      <c r="N79" s="60">
        <f>IF(A79="","","active")</f>
        <v/>
      </c>
      <c r="O79" s="60">
        <f>IF(A79="","",VLOOKUP(E79,Inventory_Live!$A$2:$M$201,4,FALSE))</f>
        <v/>
      </c>
      <c r="P79" s="60">
        <f>IF(A79="","",VLOOKUP(E79,Inventory_Live!$A$2:$M$201,5,FALSE))</f>
        <v/>
      </c>
      <c r="Q79" s="60">
        <f>IF(A79="","",VLOOKUP(E79,Inventory_Live!$A$2:$M$201,6,FALSE))</f>
        <v/>
      </c>
    </row>
    <row r="80">
      <c r="A80" s="60">
        <f>IF(Catalog!N80&lt;&gt;"Yes","",Catalog!B80)</f>
        <v/>
      </c>
      <c r="B80" s="60">
        <f>IF(A80="","",Catalog!C80)</f>
        <v/>
      </c>
      <c r="C80" s="60">
        <f>IF(A80="","",Catalog!H80)</f>
        <v/>
      </c>
      <c r="D80" s="60">
        <f>IF(A80="","",Catalog!I80)</f>
        <v/>
      </c>
      <c r="E80" s="60">
        <f>IF(A80="","",Catalog!A80)</f>
        <v/>
      </c>
      <c r="F80" s="60">
        <f>IF(A80="","",Catalog!J80)</f>
        <v/>
      </c>
      <c r="G80" s="76">
        <f>IF(A80="","",Catalog!L80)</f>
        <v/>
      </c>
      <c r="H80" s="76">
        <f>IF(A80="","",Catalog!K80)</f>
        <v/>
      </c>
      <c r="I80" s="60">
        <f>IF(A80="","",Catalog!F80)</f>
        <v/>
      </c>
      <c r="J80" s="60">
        <f>IF(A80="","",Catalog!G80)</f>
        <v/>
      </c>
      <c r="K80" s="60">
        <f>IF(A80="","","TRUE")</f>
        <v/>
      </c>
      <c r="L80" s="60">
        <f>IF(A80="","","shopify")</f>
        <v/>
      </c>
      <c r="M80" s="60">
        <f>IF(A80="","","deny")</f>
        <v/>
      </c>
      <c r="N80" s="60">
        <f>IF(A80="","","active")</f>
        <v/>
      </c>
      <c r="O80" s="60">
        <f>IF(A80="","",VLOOKUP(E80,Inventory_Live!$A$2:$M$201,4,FALSE))</f>
        <v/>
      </c>
      <c r="P80" s="60">
        <f>IF(A80="","",VLOOKUP(E80,Inventory_Live!$A$2:$M$201,5,FALSE))</f>
        <v/>
      </c>
      <c r="Q80" s="60">
        <f>IF(A80="","",VLOOKUP(E80,Inventory_Live!$A$2:$M$201,6,FALSE))</f>
        <v/>
      </c>
    </row>
    <row r="81">
      <c r="A81" s="60">
        <f>IF(Catalog!N81&lt;&gt;"Yes","",Catalog!B81)</f>
        <v/>
      </c>
      <c r="B81" s="60">
        <f>IF(A81="","",Catalog!C81)</f>
        <v/>
      </c>
      <c r="C81" s="60">
        <f>IF(A81="","",Catalog!H81)</f>
        <v/>
      </c>
      <c r="D81" s="60">
        <f>IF(A81="","",Catalog!I81)</f>
        <v/>
      </c>
      <c r="E81" s="60">
        <f>IF(A81="","",Catalog!A81)</f>
        <v/>
      </c>
      <c r="F81" s="60">
        <f>IF(A81="","",Catalog!J81)</f>
        <v/>
      </c>
      <c r="G81" s="76">
        <f>IF(A81="","",Catalog!L81)</f>
        <v/>
      </c>
      <c r="H81" s="76">
        <f>IF(A81="","",Catalog!K81)</f>
        <v/>
      </c>
      <c r="I81" s="60">
        <f>IF(A81="","",Catalog!F81)</f>
        <v/>
      </c>
      <c r="J81" s="60">
        <f>IF(A81="","",Catalog!G81)</f>
        <v/>
      </c>
      <c r="K81" s="60">
        <f>IF(A81="","","TRUE")</f>
        <v/>
      </c>
      <c r="L81" s="60">
        <f>IF(A81="","","shopify")</f>
        <v/>
      </c>
      <c r="M81" s="60">
        <f>IF(A81="","","deny")</f>
        <v/>
      </c>
      <c r="N81" s="60">
        <f>IF(A81="","","active")</f>
        <v/>
      </c>
      <c r="O81" s="60">
        <f>IF(A81="","",VLOOKUP(E81,Inventory_Live!$A$2:$M$201,4,FALSE))</f>
        <v/>
      </c>
      <c r="P81" s="60">
        <f>IF(A81="","",VLOOKUP(E81,Inventory_Live!$A$2:$M$201,5,FALSE))</f>
        <v/>
      </c>
      <c r="Q81" s="60">
        <f>IF(A81="","",VLOOKUP(E81,Inventory_Live!$A$2:$M$201,6,FALSE))</f>
        <v/>
      </c>
    </row>
    <row r="82">
      <c r="A82" s="60">
        <f>IF(Catalog!N82&lt;&gt;"Yes","",Catalog!B82)</f>
        <v/>
      </c>
      <c r="B82" s="60">
        <f>IF(A82="","",Catalog!C82)</f>
        <v/>
      </c>
      <c r="C82" s="60">
        <f>IF(A82="","",Catalog!H82)</f>
        <v/>
      </c>
      <c r="D82" s="60">
        <f>IF(A82="","",Catalog!I82)</f>
        <v/>
      </c>
      <c r="E82" s="60">
        <f>IF(A82="","",Catalog!A82)</f>
        <v/>
      </c>
      <c r="F82" s="60">
        <f>IF(A82="","",Catalog!J82)</f>
        <v/>
      </c>
      <c r="G82" s="76">
        <f>IF(A82="","",Catalog!L82)</f>
        <v/>
      </c>
      <c r="H82" s="76">
        <f>IF(A82="","",Catalog!K82)</f>
        <v/>
      </c>
      <c r="I82" s="60">
        <f>IF(A82="","",Catalog!F82)</f>
        <v/>
      </c>
      <c r="J82" s="60">
        <f>IF(A82="","",Catalog!G82)</f>
        <v/>
      </c>
      <c r="K82" s="60">
        <f>IF(A82="","","TRUE")</f>
        <v/>
      </c>
      <c r="L82" s="60">
        <f>IF(A82="","","shopify")</f>
        <v/>
      </c>
      <c r="M82" s="60">
        <f>IF(A82="","","deny")</f>
        <v/>
      </c>
      <c r="N82" s="60">
        <f>IF(A82="","","active")</f>
        <v/>
      </c>
      <c r="O82" s="60">
        <f>IF(A82="","",VLOOKUP(E82,Inventory_Live!$A$2:$M$201,4,FALSE))</f>
        <v/>
      </c>
      <c r="P82" s="60">
        <f>IF(A82="","",VLOOKUP(E82,Inventory_Live!$A$2:$M$201,5,FALSE))</f>
        <v/>
      </c>
      <c r="Q82" s="60">
        <f>IF(A82="","",VLOOKUP(E82,Inventory_Live!$A$2:$M$201,6,FALSE))</f>
        <v/>
      </c>
    </row>
    <row r="83">
      <c r="A83" s="60">
        <f>IF(Catalog!N83&lt;&gt;"Yes","",Catalog!B83)</f>
        <v/>
      </c>
      <c r="B83" s="60">
        <f>IF(A83="","",Catalog!C83)</f>
        <v/>
      </c>
      <c r="C83" s="60">
        <f>IF(A83="","",Catalog!H83)</f>
        <v/>
      </c>
      <c r="D83" s="60">
        <f>IF(A83="","",Catalog!I83)</f>
        <v/>
      </c>
      <c r="E83" s="60">
        <f>IF(A83="","",Catalog!A83)</f>
        <v/>
      </c>
      <c r="F83" s="60">
        <f>IF(A83="","",Catalog!J83)</f>
        <v/>
      </c>
      <c r="G83" s="76">
        <f>IF(A83="","",Catalog!L83)</f>
        <v/>
      </c>
      <c r="H83" s="76">
        <f>IF(A83="","",Catalog!K83)</f>
        <v/>
      </c>
      <c r="I83" s="60">
        <f>IF(A83="","",Catalog!F83)</f>
        <v/>
      </c>
      <c r="J83" s="60">
        <f>IF(A83="","",Catalog!G83)</f>
        <v/>
      </c>
      <c r="K83" s="60">
        <f>IF(A83="","","TRUE")</f>
        <v/>
      </c>
      <c r="L83" s="60">
        <f>IF(A83="","","shopify")</f>
        <v/>
      </c>
      <c r="M83" s="60">
        <f>IF(A83="","","deny")</f>
        <v/>
      </c>
      <c r="N83" s="60">
        <f>IF(A83="","","active")</f>
        <v/>
      </c>
      <c r="O83" s="60">
        <f>IF(A83="","",VLOOKUP(E83,Inventory_Live!$A$2:$M$201,4,FALSE))</f>
        <v/>
      </c>
      <c r="P83" s="60">
        <f>IF(A83="","",VLOOKUP(E83,Inventory_Live!$A$2:$M$201,5,FALSE))</f>
        <v/>
      </c>
      <c r="Q83" s="60">
        <f>IF(A83="","",VLOOKUP(E83,Inventory_Live!$A$2:$M$201,6,FALSE))</f>
        <v/>
      </c>
    </row>
    <row r="84">
      <c r="A84" s="60">
        <f>IF(Catalog!N84&lt;&gt;"Yes","",Catalog!B84)</f>
        <v/>
      </c>
      <c r="B84" s="60">
        <f>IF(A84="","",Catalog!C84)</f>
        <v/>
      </c>
      <c r="C84" s="60">
        <f>IF(A84="","",Catalog!H84)</f>
        <v/>
      </c>
      <c r="D84" s="60">
        <f>IF(A84="","",Catalog!I84)</f>
        <v/>
      </c>
      <c r="E84" s="60">
        <f>IF(A84="","",Catalog!A84)</f>
        <v/>
      </c>
      <c r="F84" s="60">
        <f>IF(A84="","",Catalog!J84)</f>
        <v/>
      </c>
      <c r="G84" s="76">
        <f>IF(A84="","",Catalog!L84)</f>
        <v/>
      </c>
      <c r="H84" s="76">
        <f>IF(A84="","",Catalog!K84)</f>
        <v/>
      </c>
      <c r="I84" s="60">
        <f>IF(A84="","",Catalog!F84)</f>
        <v/>
      </c>
      <c r="J84" s="60">
        <f>IF(A84="","",Catalog!G84)</f>
        <v/>
      </c>
      <c r="K84" s="60">
        <f>IF(A84="","","TRUE")</f>
        <v/>
      </c>
      <c r="L84" s="60">
        <f>IF(A84="","","shopify")</f>
        <v/>
      </c>
      <c r="M84" s="60">
        <f>IF(A84="","","deny")</f>
        <v/>
      </c>
      <c r="N84" s="60">
        <f>IF(A84="","","active")</f>
        <v/>
      </c>
      <c r="O84" s="60">
        <f>IF(A84="","",VLOOKUP(E84,Inventory_Live!$A$2:$M$201,4,FALSE))</f>
        <v/>
      </c>
      <c r="P84" s="60">
        <f>IF(A84="","",VLOOKUP(E84,Inventory_Live!$A$2:$M$201,5,FALSE))</f>
        <v/>
      </c>
      <c r="Q84" s="60">
        <f>IF(A84="","",VLOOKUP(E84,Inventory_Live!$A$2:$M$201,6,FALSE))</f>
        <v/>
      </c>
    </row>
    <row r="85">
      <c r="A85" s="60">
        <f>IF(Catalog!N85&lt;&gt;"Yes","",Catalog!B85)</f>
        <v/>
      </c>
      <c r="B85" s="60">
        <f>IF(A85="","",Catalog!C85)</f>
        <v/>
      </c>
      <c r="C85" s="60">
        <f>IF(A85="","",Catalog!H85)</f>
        <v/>
      </c>
      <c r="D85" s="60">
        <f>IF(A85="","",Catalog!I85)</f>
        <v/>
      </c>
      <c r="E85" s="60">
        <f>IF(A85="","",Catalog!A85)</f>
        <v/>
      </c>
      <c r="F85" s="60">
        <f>IF(A85="","",Catalog!J85)</f>
        <v/>
      </c>
      <c r="G85" s="76">
        <f>IF(A85="","",Catalog!L85)</f>
        <v/>
      </c>
      <c r="H85" s="76">
        <f>IF(A85="","",Catalog!K85)</f>
        <v/>
      </c>
      <c r="I85" s="60">
        <f>IF(A85="","",Catalog!F85)</f>
        <v/>
      </c>
      <c r="J85" s="60">
        <f>IF(A85="","",Catalog!G85)</f>
        <v/>
      </c>
      <c r="K85" s="60">
        <f>IF(A85="","","TRUE")</f>
        <v/>
      </c>
      <c r="L85" s="60">
        <f>IF(A85="","","shopify")</f>
        <v/>
      </c>
      <c r="M85" s="60">
        <f>IF(A85="","","deny")</f>
        <v/>
      </c>
      <c r="N85" s="60">
        <f>IF(A85="","","active")</f>
        <v/>
      </c>
      <c r="O85" s="60">
        <f>IF(A85="","",VLOOKUP(E85,Inventory_Live!$A$2:$M$201,4,FALSE))</f>
        <v/>
      </c>
      <c r="P85" s="60">
        <f>IF(A85="","",VLOOKUP(E85,Inventory_Live!$A$2:$M$201,5,FALSE))</f>
        <v/>
      </c>
      <c r="Q85" s="60">
        <f>IF(A85="","",VLOOKUP(E85,Inventory_Live!$A$2:$M$201,6,FALSE))</f>
        <v/>
      </c>
    </row>
    <row r="86">
      <c r="A86" s="60">
        <f>IF(Catalog!N86&lt;&gt;"Yes","",Catalog!B86)</f>
        <v/>
      </c>
      <c r="B86" s="60">
        <f>IF(A86="","",Catalog!C86)</f>
        <v/>
      </c>
      <c r="C86" s="60">
        <f>IF(A86="","",Catalog!H86)</f>
        <v/>
      </c>
      <c r="D86" s="60">
        <f>IF(A86="","",Catalog!I86)</f>
        <v/>
      </c>
      <c r="E86" s="60">
        <f>IF(A86="","",Catalog!A86)</f>
        <v/>
      </c>
      <c r="F86" s="60">
        <f>IF(A86="","",Catalog!J86)</f>
        <v/>
      </c>
      <c r="G86" s="76">
        <f>IF(A86="","",Catalog!L86)</f>
        <v/>
      </c>
      <c r="H86" s="76">
        <f>IF(A86="","",Catalog!K86)</f>
        <v/>
      </c>
      <c r="I86" s="60">
        <f>IF(A86="","",Catalog!F86)</f>
        <v/>
      </c>
      <c r="J86" s="60">
        <f>IF(A86="","",Catalog!G86)</f>
        <v/>
      </c>
      <c r="K86" s="60">
        <f>IF(A86="","","TRUE")</f>
        <v/>
      </c>
      <c r="L86" s="60">
        <f>IF(A86="","","shopify")</f>
        <v/>
      </c>
      <c r="M86" s="60">
        <f>IF(A86="","","deny")</f>
        <v/>
      </c>
      <c r="N86" s="60">
        <f>IF(A86="","","active")</f>
        <v/>
      </c>
      <c r="O86" s="60">
        <f>IF(A86="","",VLOOKUP(E86,Inventory_Live!$A$2:$M$201,4,FALSE))</f>
        <v/>
      </c>
      <c r="P86" s="60">
        <f>IF(A86="","",VLOOKUP(E86,Inventory_Live!$A$2:$M$201,5,FALSE))</f>
        <v/>
      </c>
      <c r="Q86" s="60">
        <f>IF(A86="","",VLOOKUP(E86,Inventory_Live!$A$2:$M$201,6,FALSE))</f>
        <v/>
      </c>
    </row>
    <row r="87">
      <c r="A87" s="60">
        <f>IF(Catalog!N87&lt;&gt;"Yes","",Catalog!B87)</f>
        <v/>
      </c>
      <c r="B87" s="60">
        <f>IF(A87="","",Catalog!C87)</f>
        <v/>
      </c>
      <c r="C87" s="60">
        <f>IF(A87="","",Catalog!H87)</f>
        <v/>
      </c>
      <c r="D87" s="60">
        <f>IF(A87="","",Catalog!I87)</f>
        <v/>
      </c>
      <c r="E87" s="60">
        <f>IF(A87="","",Catalog!A87)</f>
        <v/>
      </c>
      <c r="F87" s="60">
        <f>IF(A87="","",Catalog!J87)</f>
        <v/>
      </c>
      <c r="G87" s="76">
        <f>IF(A87="","",Catalog!L87)</f>
        <v/>
      </c>
      <c r="H87" s="76">
        <f>IF(A87="","",Catalog!K87)</f>
        <v/>
      </c>
      <c r="I87" s="60">
        <f>IF(A87="","",Catalog!F87)</f>
        <v/>
      </c>
      <c r="J87" s="60">
        <f>IF(A87="","",Catalog!G87)</f>
        <v/>
      </c>
      <c r="K87" s="60">
        <f>IF(A87="","","TRUE")</f>
        <v/>
      </c>
      <c r="L87" s="60">
        <f>IF(A87="","","shopify")</f>
        <v/>
      </c>
      <c r="M87" s="60">
        <f>IF(A87="","","deny")</f>
        <v/>
      </c>
      <c r="N87" s="60">
        <f>IF(A87="","","active")</f>
        <v/>
      </c>
      <c r="O87" s="60">
        <f>IF(A87="","",VLOOKUP(E87,Inventory_Live!$A$2:$M$201,4,FALSE))</f>
        <v/>
      </c>
      <c r="P87" s="60">
        <f>IF(A87="","",VLOOKUP(E87,Inventory_Live!$A$2:$M$201,5,FALSE))</f>
        <v/>
      </c>
      <c r="Q87" s="60">
        <f>IF(A87="","",VLOOKUP(E87,Inventory_Live!$A$2:$M$201,6,FALSE))</f>
        <v/>
      </c>
    </row>
    <row r="88">
      <c r="A88" s="60">
        <f>IF(Catalog!N88&lt;&gt;"Yes","",Catalog!B88)</f>
        <v/>
      </c>
      <c r="B88" s="60">
        <f>IF(A88="","",Catalog!C88)</f>
        <v/>
      </c>
      <c r="C88" s="60">
        <f>IF(A88="","",Catalog!H88)</f>
        <v/>
      </c>
      <c r="D88" s="60">
        <f>IF(A88="","",Catalog!I88)</f>
        <v/>
      </c>
      <c r="E88" s="60">
        <f>IF(A88="","",Catalog!A88)</f>
        <v/>
      </c>
      <c r="F88" s="60">
        <f>IF(A88="","",Catalog!J88)</f>
        <v/>
      </c>
      <c r="G88" s="76">
        <f>IF(A88="","",Catalog!L88)</f>
        <v/>
      </c>
      <c r="H88" s="76">
        <f>IF(A88="","",Catalog!K88)</f>
        <v/>
      </c>
      <c r="I88" s="60">
        <f>IF(A88="","",Catalog!F88)</f>
        <v/>
      </c>
      <c r="J88" s="60">
        <f>IF(A88="","",Catalog!G88)</f>
        <v/>
      </c>
      <c r="K88" s="60">
        <f>IF(A88="","","TRUE")</f>
        <v/>
      </c>
      <c r="L88" s="60">
        <f>IF(A88="","","shopify")</f>
        <v/>
      </c>
      <c r="M88" s="60">
        <f>IF(A88="","","deny")</f>
        <v/>
      </c>
      <c r="N88" s="60">
        <f>IF(A88="","","active")</f>
        <v/>
      </c>
      <c r="O88" s="60">
        <f>IF(A88="","",VLOOKUP(E88,Inventory_Live!$A$2:$M$201,4,FALSE))</f>
        <v/>
      </c>
      <c r="P88" s="60">
        <f>IF(A88="","",VLOOKUP(E88,Inventory_Live!$A$2:$M$201,5,FALSE))</f>
        <v/>
      </c>
      <c r="Q88" s="60">
        <f>IF(A88="","",VLOOKUP(E88,Inventory_Live!$A$2:$M$201,6,FALSE))</f>
        <v/>
      </c>
    </row>
    <row r="89">
      <c r="A89" s="60">
        <f>IF(Catalog!N89&lt;&gt;"Yes","",Catalog!B89)</f>
        <v/>
      </c>
      <c r="B89" s="60">
        <f>IF(A89="","",Catalog!C89)</f>
        <v/>
      </c>
      <c r="C89" s="60">
        <f>IF(A89="","",Catalog!H89)</f>
        <v/>
      </c>
      <c r="D89" s="60">
        <f>IF(A89="","",Catalog!I89)</f>
        <v/>
      </c>
      <c r="E89" s="60">
        <f>IF(A89="","",Catalog!A89)</f>
        <v/>
      </c>
      <c r="F89" s="60">
        <f>IF(A89="","",Catalog!J89)</f>
        <v/>
      </c>
      <c r="G89" s="76">
        <f>IF(A89="","",Catalog!L89)</f>
        <v/>
      </c>
      <c r="H89" s="76">
        <f>IF(A89="","",Catalog!K89)</f>
        <v/>
      </c>
      <c r="I89" s="60">
        <f>IF(A89="","",Catalog!F89)</f>
        <v/>
      </c>
      <c r="J89" s="60">
        <f>IF(A89="","",Catalog!G89)</f>
        <v/>
      </c>
      <c r="K89" s="60">
        <f>IF(A89="","","TRUE")</f>
        <v/>
      </c>
      <c r="L89" s="60">
        <f>IF(A89="","","shopify")</f>
        <v/>
      </c>
      <c r="M89" s="60">
        <f>IF(A89="","","deny")</f>
        <v/>
      </c>
      <c r="N89" s="60">
        <f>IF(A89="","","active")</f>
        <v/>
      </c>
      <c r="O89" s="60">
        <f>IF(A89="","",VLOOKUP(E89,Inventory_Live!$A$2:$M$201,4,FALSE))</f>
        <v/>
      </c>
      <c r="P89" s="60">
        <f>IF(A89="","",VLOOKUP(E89,Inventory_Live!$A$2:$M$201,5,FALSE))</f>
        <v/>
      </c>
      <c r="Q89" s="60">
        <f>IF(A89="","",VLOOKUP(E89,Inventory_Live!$A$2:$M$201,6,FALSE))</f>
        <v/>
      </c>
    </row>
    <row r="90">
      <c r="A90" s="60">
        <f>IF(Catalog!N90&lt;&gt;"Yes","",Catalog!B90)</f>
        <v/>
      </c>
      <c r="B90" s="60">
        <f>IF(A90="","",Catalog!C90)</f>
        <v/>
      </c>
      <c r="C90" s="60">
        <f>IF(A90="","",Catalog!H90)</f>
        <v/>
      </c>
      <c r="D90" s="60">
        <f>IF(A90="","",Catalog!I90)</f>
        <v/>
      </c>
      <c r="E90" s="60">
        <f>IF(A90="","",Catalog!A90)</f>
        <v/>
      </c>
      <c r="F90" s="60">
        <f>IF(A90="","",Catalog!J90)</f>
        <v/>
      </c>
      <c r="G90" s="76">
        <f>IF(A90="","",Catalog!L90)</f>
        <v/>
      </c>
      <c r="H90" s="76">
        <f>IF(A90="","",Catalog!K90)</f>
        <v/>
      </c>
      <c r="I90" s="60">
        <f>IF(A90="","",Catalog!F90)</f>
        <v/>
      </c>
      <c r="J90" s="60">
        <f>IF(A90="","",Catalog!G90)</f>
        <v/>
      </c>
      <c r="K90" s="60">
        <f>IF(A90="","","TRUE")</f>
        <v/>
      </c>
      <c r="L90" s="60">
        <f>IF(A90="","","shopify")</f>
        <v/>
      </c>
      <c r="M90" s="60">
        <f>IF(A90="","","deny")</f>
        <v/>
      </c>
      <c r="N90" s="60">
        <f>IF(A90="","","active")</f>
        <v/>
      </c>
      <c r="O90" s="60">
        <f>IF(A90="","",VLOOKUP(E90,Inventory_Live!$A$2:$M$201,4,FALSE))</f>
        <v/>
      </c>
      <c r="P90" s="60">
        <f>IF(A90="","",VLOOKUP(E90,Inventory_Live!$A$2:$M$201,5,FALSE))</f>
        <v/>
      </c>
      <c r="Q90" s="60">
        <f>IF(A90="","",VLOOKUP(E90,Inventory_Live!$A$2:$M$201,6,FALSE))</f>
        <v/>
      </c>
    </row>
    <row r="91">
      <c r="A91" s="60">
        <f>IF(Catalog!N91&lt;&gt;"Yes","",Catalog!B91)</f>
        <v/>
      </c>
      <c r="B91" s="60">
        <f>IF(A91="","",Catalog!C91)</f>
        <v/>
      </c>
      <c r="C91" s="60">
        <f>IF(A91="","",Catalog!H91)</f>
        <v/>
      </c>
      <c r="D91" s="60">
        <f>IF(A91="","",Catalog!I91)</f>
        <v/>
      </c>
      <c r="E91" s="60">
        <f>IF(A91="","",Catalog!A91)</f>
        <v/>
      </c>
      <c r="F91" s="60">
        <f>IF(A91="","",Catalog!J91)</f>
        <v/>
      </c>
      <c r="G91" s="76">
        <f>IF(A91="","",Catalog!L91)</f>
        <v/>
      </c>
      <c r="H91" s="76">
        <f>IF(A91="","",Catalog!K91)</f>
        <v/>
      </c>
      <c r="I91" s="60">
        <f>IF(A91="","",Catalog!F91)</f>
        <v/>
      </c>
      <c r="J91" s="60">
        <f>IF(A91="","",Catalog!G91)</f>
        <v/>
      </c>
      <c r="K91" s="60">
        <f>IF(A91="","","TRUE")</f>
        <v/>
      </c>
      <c r="L91" s="60">
        <f>IF(A91="","","shopify")</f>
        <v/>
      </c>
      <c r="M91" s="60">
        <f>IF(A91="","","deny")</f>
        <v/>
      </c>
      <c r="N91" s="60">
        <f>IF(A91="","","active")</f>
        <v/>
      </c>
      <c r="O91" s="60">
        <f>IF(A91="","",VLOOKUP(E91,Inventory_Live!$A$2:$M$201,4,FALSE))</f>
        <v/>
      </c>
      <c r="P91" s="60">
        <f>IF(A91="","",VLOOKUP(E91,Inventory_Live!$A$2:$M$201,5,FALSE))</f>
        <v/>
      </c>
      <c r="Q91" s="60">
        <f>IF(A91="","",VLOOKUP(E91,Inventory_Live!$A$2:$M$201,6,FALSE))</f>
        <v/>
      </c>
    </row>
    <row r="92">
      <c r="A92" s="60">
        <f>IF(Catalog!N92&lt;&gt;"Yes","",Catalog!B92)</f>
        <v/>
      </c>
      <c r="B92" s="60">
        <f>IF(A92="","",Catalog!C92)</f>
        <v/>
      </c>
      <c r="C92" s="60">
        <f>IF(A92="","",Catalog!H92)</f>
        <v/>
      </c>
      <c r="D92" s="60">
        <f>IF(A92="","",Catalog!I92)</f>
        <v/>
      </c>
      <c r="E92" s="60">
        <f>IF(A92="","",Catalog!A92)</f>
        <v/>
      </c>
      <c r="F92" s="60">
        <f>IF(A92="","",Catalog!J92)</f>
        <v/>
      </c>
      <c r="G92" s="76">
        <f>IF(A92="","",Catalog!L92)</f>
        <v/>
      </c>
      <c r="H92" s="76">
        <f>IF(A92="","",Catalog!K92)</f>
        <v/>
      </c>
      <c r="I92" s="60">
        <f>IF(A92="","",Catalog!F92)</f>
        <v/>
      </c>
      <c r="J92" s="60">
        <f>IF(A92="","",Catalog!G92)</f>
        <v/>
      </c>
      <c r="K92" s="60">
        <f>IF(A92="","","TRUE")</f>
        <v/>
      </c>
      <c r="L92" s="60">
        <f>IF(A92="","","shopify")</f>
        <v/>
      </c>
      <c r="M92" s="60">
        <f>IF(A92="","","deny")</f>
        <v/>
      </c>
      <c r="N92" s="60">
        <f>IF(A92="","","active")</f>
        <v/>
      </c>
      <c r="O92" s="60">
        <f>IF(A92="","",VLOOKUP(E92,Inventory_Live!$A$2:$M$201,4,FALSE))</f>
        <v/>
      </c>
      <c r="P92" s="60">
        <f>IF(A92="","",VLOOKUP(E92,Inventory_Live!$A$2:$M$201,5,FALSE))</f>
        <v/>
      </c>
      <c r="Q92" s="60">
        <f>IF(A92="","",VLOOKUP(E92,Inventory_Live!$A$2:$M$201,6,FALSE))</f>
        <v/>
      </c>
    </row>
    <row r="93">
      <c r="A93" s="60">
        <f>IF(Catalog!N93&lt;&gt;"Yes","",Catalog!B93)</f>
        <v/>
      </c>
      <c r="B93" s="60">
        <f>IF(A93="","",Catalog!C93)</f>
        <v/>
      </c>
      <c r="C93" s="60">
        <f>IF(A93="","",Catalog!H93)</f>
        <v/>
      </c>
      <c r="D93" s="60">
        <f>IF(A93="","",Catalog!I93)</f>
        <v/>
      </c>
      <c r="E93" s="60">
        <f>IF(A93="","",Catalog!A93)</f>
        <v/>
      </c>
      <c r="F93" s="60">
        <f>IF(A93="","",Catalog!J93)</f>
        <v/>
      </c>
      <c r="G93" s="76">
        <f>IF(A93="","",Catalog!L93)</f>
        <v/>
      </c>
      <c r="H93" s="76">
        <f>IF(A93="","",Catalog!K93)</f>
        <v/>
      </c>
      <c r="I93" s="60">
        <f>IF(A93="","",Catalog!F93)</f>
        <v/>
      </c>
      <c r="J93" s="60">
        <f>IF(A93="","",Catalog!G93)</f>
        <v/>
      </c>
      <c r="K93" s="60">
        <f>IF(A93="","","TRUE")</f>
        <v/>
      </c>
      <c r="L93" s="60">
        <f>IF(A93="","","shopify")</f>
        <v/>
      </c>
      <c r="M93" s="60">
        <f>IF(A93="","","deny")</f>
        <v/>
      </c>
      <c r="N93" s="60">
        <f>IF(A93="","","active")</f>
        <v/>
      </c>
      <c r="O93" s="60">
        <f>IF(A93="","",VLOOKUP(E93,Inventory_Live!$A$2:$M$201,4,FALSE))</f>
        <v/>
      </c>
      <c r="P93" s="60">
        <f>IF(A93="","",VLOOKUP(E93,Inventory_Live!$A$2:$M$201,5,FALSE))</f>
        <v/>
      </c>
      <c r="Q93" s="60">
        <f>IF(A93="","",VLOOKUP(E93,Inventory_Live!$A$2:$M$201,6,FALSE))</f>
        <v/>
      </c>
    </row>
    <row r="94">
      <c r="A94" s="60">
        <f>IF(Catalog!N94&lt;&gt;"Yes","",Catalog!B94)</f>
        <v/>
      </c>
      <c r="B94" s="60">
        <f>IF(A94="","",Catalog!C94)</f>
        <v/>
      </c>
      <c r="C94" s="60">
        <f>IF(A94="","",Catalog!H94)</f>
        <v/>
      </c>
      <c r="D94" s="60">
        <f>IF(A94="","",Catalog!I94)</f>
        <v/>
      </c>
      <c r="E94" s="60">
        <f>IF(A94="","",Catalog!A94)</f>
        <v/>
      </c>
      <c r="F94" s="60">
        <f>IF(A94="","",Catalog!J94)</f>
        <v/>
      </c>
      <c r="G94" s="76">
        <f>IF(A94="","",Catalog!L94)</f>
        <v/>
      </c>
      <c r="H94" s="76">
        <f>IF(A94="","",Catalog!K94)</f>
        <v/>
      </c>
      <c r="I94" s="60">
        <f>IF(A94="","",Catalog!F94)</f>
        <v/>
      </c>
      <c r="J94" s="60">
        <f>IF(A94="","",Catalog!G94)</f>
        <v/>
      </c>
      <c r="K94" s="60">
        <f>IF(A94="","","TRUE")</f>
        <v/>
      </c>
      <c r="L94" s="60">
        <f>IF(A94="","","shopify")</f>
        <v/>
      </c>
      <c r="M94" s="60">
        <f>IF(A94="","","deny")</f>
        <v/>
      </c>
      <c r="N94" s="60">
        <f>IF(A94="","","active")</f>
        <v/>
      </c>
      <c r="O94" s="60">
        <f>IF(A94="","",VLOOKUP(E94,Inventory_Live!$A$2:$M$201,4,FALSE))</f>
        <v/>
      </c>
      <c r="P94" s="60">
        <f>IF(A94="","",VLOOKUP(E94,Inventory_Live!$A$2:$M$201,5,FALSE))</f>
        <v/>
      </c>
      <c r="Q94" s="60">
        <f>IF(A94="","",VLOOKUP(E94,Inventory_Live!$A$2:$M$201,6,FALSE))</f>
        <v/>
      </c>
    </row>
    <row r="95">
      <c r="A95" s="60">
        <f>IF(Catalog!N95&lt;&gt;"Yes","",Catalog!B95)</f>
        <v/>
      </c>
      <c r="B95" s="60">
        <f>IF(A95="","",Catalog!C95)</f>
        <v/>
      </c>
      <c r="C95" s="60">
        <f>IF(A95="","",Catalog!H95)</f>
        <v/>
      </c>
      <c r="D95" s="60">
        <f>IF(A95="","",Catalog!I95)</f>
        <v/>
      </c>
      <c r="E95" s="60">
        <f>IF(A95="","",Catalog!A95)</f>
        <v/>
      </c>
      <c r="F95" s="60">
        <f>IF(A95="","",Catalog!J95)</f>
        <v/>
      </c>
      <c r="G95" s="76">
        <f>IF(A95="","",Catalog!L95)</f>
        <v/>
      </c>
      <c r="H95" s="76">
        <f>IF(A95="","",Catalog!K95)</f>
        <v/>
      </c>
      <c r="I95" s="60">
        <f>IF(A95="","",Catalog!F95)</f>
        <v/>
      </c>
      <c r="J95" s="60">
        <f>IF(A95="","",Catalog!G95)</f>
        <v/>
      </c>
      <c r="K95" s="60">
        <f>IF(A95="","","TRUE")</f>
        <v/>
      </c>
      <c r="L95" s="60">
        <f>IF(A95="","","shopify")</f>
        <v/>
      </c>
      <c r="M95" s="60">
        <f>IF(A95="","","deny")</f>
        <v/>
      </c>
      <c r="N95" s="60">
        <f>IF(A95="","","active")</f>
        <v/>
      </c>
      <c r="O95" s="60">
        <f>IF(A95="","",VLOOKUP(E95,Inventory_Live!$A$2:$M$201,4,FALSE))</f>
        <v/>
      </c>
      <c r="P95" s="60">
        <f>IF(A95="","",VLOOKUP(E95,Inventory_Live!$A$2:$M$201,5,FALSE))</f>
        <v/>
      </c>
      <c r="Q95" s="60">
        <f>IF(A95="","",VLOOKUP(E95,Inventory_Live!$A$2:$M$201,6,FALSE))</f>
        <v/>
      </c>
    </row>
    <row r="96">
      <c r="A96" s="60">
        <f>IF(Catalog!N96&lt;&gt;"Yes","",Catalog!B96)</f>
        <v/>
      </c>
      <c r="B96" s="60">
        <f>IF(A96="","",Catalog!C96)</f>
        <v/>
      </c>
      <c r="C96" s="60">
        <f>IF(A96="","",Catalog!H96)</f>
        <v/>
      </c>
      <c r="D96" s="60">
        <f>IF(A96="","",Catalog!I96)</f>
        <v/>
      </c>
      <c r="E96" s="60">
        <f>IF(A96="","",Catalog!A96)</f>
        <v/>
      </c>
      <c r="F96" s="60">
        <f>IF(A96="","",Catalog!J96)</f>
        <v/>
      </c>
      <c r="G96" s="76">
        <f>IF(A96="","",Catalog!L96)</f>
        <v/>
      </c>
      <c r="H96" s="76">
        <f>IF(A96="","",Catalog!K96)</f>
        <v/>
      </c>
      <c r="I96" s="60">
        <f>IF(A96="","",Catalog!F96)</f>
        <v/>
      </c>
      <c r="J96" s="60">
        <f>IF(A96="","",Catalog!G96)</f>
        <v/>
      </c>
      <c r="K96" s="60">
        <f>IF(A96="","","TRUE")</f>
        <v/>
      </c>
      <c r="L96" s="60">
        <f>IF(A96="","","shopify")</f>
        <v/>
      </c>
      <c r="M96" s="60">
        <f>IF(A96="","","deny")</f>
        <v/>
      </c>
      <c r="N96" s="60">
        <f>IF(A96="","","active")</f>
        <v/>
      </c>
      <c r="O96" s="60">
        <f>IF(A96="","",VLOOKUP(E96,Inventory_Live!$A$2:$M$201,4,FALSE))</f>
        <v/>
      </c>
      <c r="P96" s="60">
        <f>IF(A96="","",VLOOKUP(E96,Inventory_Live!$A$2:$M$201,5,FALSE))</f>
        <v/>
      </c>
      <c r="Q96" s="60">
        <f>IF(A96="","",VLOOKUP(E96,Inventory_Live!$A$2:$M$201,6,FALSE))</f>
        <v/>
      </c>
    </row>
    <row r="97">
      <c r="A97" s="60">
        <f>IF(Catalog!N97&lt;&gt;"Yes","",Catalog!B97)</f>
        <v/>
      </c>
      <c r="B97" s="60">
        <f>IF(A97="","",Catalog!C97)</f>
        <v/>
      </c>
      <c r="C97" s="60">
        <f>IF(A97="","",Catalog!H97)</f>
        <v/>
      </c>
      <c r="D97" s="60">
        <f>IF(A97="","",Catalog!I97)</f>
        <v/>
      </c>
      <c r="E97" s="60">
        <f>IF(A97="","",Catalog!A97)</f>
        <v/>
      </c>
      <c r="F97" s="60">
        <f>IF(A97="","",Catalog!J97)</f>
        <v/>
      </c>
      <c r="G97" s="76">
        <f>IF(A97="","",Catalog!L97)</f>
        <v/>
      </c>
      <c r="H97" s="76">
        <f>IF(A97="","",Catalog!K97)</f>
        <v/>
      </c>
      <c r="I97" s="60">
        <f>IF(A97="","",Catalog!F97)</f>
        <v/>
      </c>
      <c r="J97" s="60">
        <f>IF(A97="","",Catalog!G97)</f>
        <v/>
      </c>
      <c r="K97" s="60">
        <f>IF(A97="","","TRUE")</f>
        <v/>
      </c>
      <c r="L97" s="60">
        <f>IF(A97="","","shopify")</f>
        <v/>
      </c>
      <c r="M97" s="60">
        <f>IF(A97="","","deny")</f>
        <v/>
      </c>
      <c r="N97" s="60">
        <f>IF(A97="","","active")</f>
        <v/>
      </c>
      <c r="O97" s="60">
        <f>IF(A97="","",VLOOKUP(E97,Inventory_Live!$A$2:$M$201,4,FALSE))</f>
        <v/>
      </c>
      <c r="P97" s="60">
        <f>IF(A97="","",VLOOKUP(E97,Inventory_Live!$A$2:$M$201,5,FALSE))</f>
        <v/>
      </c>
      <c r="Q97" s="60">
        <f>IF(A97="","",VLOOKUP(E97,Inventory_Live!$A$2:$M$201,6,FALSE))</f>
        <v/>
      </c>
    </row>
    <row r="98">
      <c r="A98" s="60">
        <f>IF(Catalog!N98&lt;&gt;"Yes","",Catalog!B98)</f>
        <v/>
      </c>
      <c r="B98" s="60">
        <f>IF(A98="","",Catalog!C98)</f>
        <v/>
      </c>
      <c r="C98" s="60">
        <f>IF(A98="","",Catalog!H98)</f>
        <v/>
      </c>
      <c r="D98" s="60">
        <f>IF(A98="","",Catalog!I98)</f>
        <v/>
      </c>
      <c r="E98" s="60">
        <f>IF(A98="","",Catalog!A98)</f>
        <v/>
      </c>
      <c r="F98" s="60">
        <f>IF(A98="","",Catalog!J98)</f>
        <v/>
      </c>
      <c r="G98" s="76">
        <f>IF(A98="","",Catalog!L98)</f>
        <v/>
      </c>
      <c r="H98" s="76">
        <f>IF(A98="","",Catalog!K98)</f>
        <v/>
      </c>
      <c r="I98" s="60">
        <f>IF(A98="","",Catalog!F98)</f>
        <v/>
      </c>
      <c r="J98" s="60">
        <f>IF(A98="","",Catalog!G98)</f>
        <v/>
      </c>
      <c r="K98" s="60">
        <f>IF(A98="","","TRUE")</f>
        <v/>
      </c>
      <c r="L98" s="60">
        <f>IF(A98="","","shopify")</f>
        <v/>
      </c>
      <c r="M98" s="60">
        <f>IF(A98="","","deny")</f>
        <v/>
      </c>
      <c r="N98" s="60">
        <f>IF(A98="","","active")</f>
        <v/>
      </c>
      <c r="O98" s="60">
        <f>IF(A98="","",VLOOKUP(E98,Inventory_Live!$A$2:$M$201,4,FALSE))</f>
        <v/>
      </c>
      <c r="P98" s="60">
        <f>IF(A98="","",VLOOKUP(E98,Inventory_Live!$A$2:$M$201,5,FALSE))</f>
        <v/>
      </c>
      <c r="Q98" s="60">
        <f>IF(A98="","",VLOOKUP(E98,Inventory_Live!$A$2:$M$201,6,FALSE))</f>
        <v/>
      </c>
    </row>
    <row r="99">
      <c r="A99" s="60">
        <f>IF(Catalog!N99&lt;&gt;"Yes","",Catalog!B99)</f>
        <v/>
      </c>
      <c r="B99" s="60">
        <f>IF(A99="","",Catalog!C99)</f>
        <v/>
      </c>
      <c r="C99" s="60">
        <f>IF(A99="","",Catalog!H99)</f>
        <v/>
      </c>
      <c r="D99" s="60">
        <f>IF(A99="","",Catalog!I99)</f>
        <v/>
      </c>
      <c r="E99" s="60">
        <f>IF(A99="","",Catalog!A99)</f>
        <v/>
      </c>
      <c r="F99" s="60">
        <f>IF(A99="","",Catalog!J99)</f>
        <v/>
      </c>
      <c r="G99" s="76">
        <f>IF(A99="","",Catalog!L99)</f>
        <v/>
      </c>
      <c r="H99" s="76">
        <f>IF(A99="","",Catalog!K99)</f>
        <v/>
      </c>
      <c r="I99" s="60">
        <f>IF(A99="","",Catalog!F99)</f>
        <v/>
      </c>
      <c r="J99" s="60">
        <f>IF(A99="","",Catalog!G99)</f>
        <v/>
      </c>
      <c r="K99" s="60">
        <f>IF(A99="","","TRUE")</f>
        <v/>
      </c>
      <c r="L99" s="60">
        <f>IF(A99="","","shopify")</f>
        <v/>
      </c>
      <c r="M99" s="60">
        <f>IF(A99="","","deny")</f>
        <v/>
      </c>
      <c r="N99" s="60">
        <f>IF(A99="","","active")</f>
        <v/>
      </c>
      <c r="O99" s="60">
        <f>IF(A99="","",VLOOKUP(E99,Inventory_Live!$A$2:$M$201,4,FALSE))</f>
        <v/>
      </c>
      <c r="P99" s="60">
        <f>IF(A99="","",VLOOKUP(E99,Inventory_Live!$A$2:$M$201,5,FALSE))</f>
        <v/>
      </c>
      <c r="Q99" s="60">
        <f>IF(A99="","",VLOOKUP(E99,Inventory_Live!$A$2:$M$201,6,FALSE))</f>
        <v/>
      </c>
    </row>
    <row r="100">
      <c r="A100" s="60">
        <f>IF(Catalog!N100&lt;&gt;"Yes","",Catalog!B100)</f>
        <v/>
      </c>
      <c r="B100" s="60">
        <f>IF(A100="","",Catalog!C100)</f>
        <v/>
      </c>
      <c r="C100" s="60">
        <f>IF(A100="","",Catalog!H100)</f>
        <v/>
      </c>
      <c r="D100" s="60">
        <f>IF(A100="","",Catalog!I100)</f>
        <v/>
      </c>
      <c r="E100" s="60">
        <f>IF(A100="","",Catalog!A100)</f>
        <v/>
      </c>
      <c r="F100" s="60">
        <f>IF(A100="","",Catalog!J100)</f>
        <v/>
      </c>
      <c r="G100" s="76">
        <f>IF(A100="","",Catalog!L100)</f>
        <v/>
      </c>
      <c r="H100" s="76">
        <f>IF(A100="","",Catalog!K100)</f>
        <v/>
      </c>
      <c r="I100" s="60">
        <f>IF(A100="","",Catalog!F100)</f>
        <v/>
      </c>
      <c r="J100" s="60">
        <f>IF(A100="","",Catalog!G100)</f>
        <v/>
      </c>
      <c r="K100" s="60">
        <f>IF(A100="","","TRUE")</f>
        <v/>
      </c>
      <c r="L100" s="60">
        <f>IF(A100="","","shopify")</f>
        <v/>
      </c>
      <c r="M100" s="60">
        <f>IF(A100="","","deny")</f>
        <v/>
      </c>
      <c r="N100" s="60">
        <f>IF(A100="","","active")</f>
        <v/>
      </c>
      <c r="O100" s="60">
        <f>IF(A100="","",VLOOKUP(E100,Inventory_Live!$A$2:$M$201,4,FALSE))</f>
        <v/>
      </c>
      <c r="P100" s="60">
        <f>IF(A100="","",VLOOKUP(E100,Inventory_Live!$A$2:$M$201,5,FALSE))</f>
        <v/>
      </c>
      <c r="Q100" s="60">
        <f>IF(A100="","",VLOOKUP(E100,Inventory_Live!$A$2:$M$201,6,FALSE))</f>
        <v/>
      </c>
    </row>
    <row r="101">
      <c r="A101" s="60">
        <f>IF(Catalog!N101&lt;&gt;"Yes","",Catalog!B101)</f>
        <v/>
      </c>
      <c r="B101" s="60">
        <f>IF(A101="","",Catalog!C101)</f>
        <v/>
      </c>
      <c r="C101" s="60">
        <f>IF(A101="","",Catalog!H101)</f>
        <v/>
      </c>
      <c r="D101" s="60">
        <f>IF(A101="","",Catalog!I101)</f>
        <v/>
      </c>
      <c r="E101" s="60">
        <f>IF(A101="","",Catalog!A101)</f>
        <v/>
      </c>
      <c r="F101" s="60">
        <f>IF(A101="","",Catalog!J101)</f>
        <v/>
      </c>
      <c r="G101" s="76">
        <f>IF(A101="","",Catalog!L101)</f>
        <v/>
      </c>
      <c r="H101" s="76">
        <f>IF(A101="","",Catalog!K101)</f>
        <v/>
      </c>
      <c r="I101" s="60">
        <f>IF(A101="","",Catalog!F101)</f>
        <v/>
      </c>
      <c r="J101" s="60">
        <f>IF(A101="","",Catalog!G101)</f>
        <v/>
      </c>
      <c r="K101" s="60">
        <f>IF(A101="","","TRUE")</f>
        <v/>
      </c>
      <c r="L101" s="60">
        <f>IF(A101="","","shopify")</f>
        <v/>
      </c>
      <c r="M101" s="60">
        <f>IF(A101="","","deny")</f>
        <v/>
      </c>
      <c r="N101" s="60">
        <f>IF(A101="","","active")</f>
        <v/>
      </c>
      <c r="O101" s="60">
        <f>IF(A101="","",VLOOKUP(E101,Inventory_Live!$A$2:$M$201,4,FALSE))</f>
        <v/>
      </c>
      <c r="P101" s="60">
        <f>IF(A101="","",VLOOKUP(E101,Inventory_Live!$A$2:$M$201,5,FALSE))</f>
        <v/>
      </c>
      <c r="Q101" s="60">
        <f>IF(A101="","",VLOOKUP(E101,Inventory_Live!$A$2:$M$201,6,FALSE))</f>
        <v/>
      </c>
    </row>
    <row r="102">
      <c r="A102" s="60">
        <f>IF(Catalog!N102&lt;&gt;"Yes","",Catalog!B102)</f>
        <v/>
      </c>
      <c r="B102" s="60">
        <f>IF(A102="","",Catalog!C102)</f>
        <v/>
      </c>
      <c r="C102" s="60">
        <f>IF(A102="","",Catalog!H102)</f>
        <v/>
      </c>
      <c r="D102" s="60">
        <f>IF(A102="","",Catalog!I102)</f>
        <v/>
      </c>
      <c r="E102" s="60">
        <f>IF(A102="","",Catalog!A102)</f>
        <v/>
      </c>
      <c r="F102" s="60">
        <f>IF(A102="","",Catalog!J102)</f>
        <v/>
      </c>
      <c r="G102" s="76">
        <f>IF(A102="","",Catalog!L102)</f>
        <v/>
      </c>
      <c r="H102" s="76">
        <f>IF(A102="","",Catalog!K102)</f>
        <v/>
      </c>
      <c r="I102" s="60">
        <f>IF(A102="","",Catalog!F102)</f>
        <v/>
      </c>
      <c r="J102" s="60">
        <f>IF(A102="","",Catalog!G102)</f>
        <v/>
      </c>
      <c r="K102" s="60">
        <f>IF(A102="","","TRUE")</f>
        <v/>
      </c>
      <c r="L102" s="60">
        <f>IF(A102="","","shopify")</f>
        <v/>
      </c>
      <c r="M102" s="60">
        <f>IF(A102="","","deny")</f>
        <v/>
      </c>
      <c r="N102" s="60">
        <f>IF(A102="","","active")</f>
        <v/>
      </c>
      <c r="O102" s="60">
        <f>IF(A102="","",VLOOKUP(E102,Inventory_Live!$A$2:$M$201,4,FALSE))</f>
        <v/>
      </c>
      <c r="P102" s="60">
        <f>IF(A102="","",VLOOKUP(E102,Inventory_Live!$A$2:$M$201,5,FALSE))</f>
        <v/>
      </c>
      <c r="Q102" s="60">
        <f>IF(A102="","",VLOOKUP(E102,Inventory_Live!$A$2:$M$201,6,FALSE))</f>
        <v/>
      </c>
    </row>
    <row r="103">
      <c r="A103" s="60">
        <f>IF(Catalog!N103&lt;&gt;"Yes","",Catalog!B103)</f>
        <v/>
      </c>
      <c r="B103" s="60">
        <f>IF(A103="","",Catalog!C103)</f>
        <v/>
      </c>
      <c r="C103" s="60">
        <f>IF(A103="","",Catalog!H103)</f>
        <v/>
      </c>
      <c r="D103" s="60">
        <f>IF(A103="","",Catalog!I103)</f>
        <v/>
      </c>
      <c r="E103" s="60">
        <f>IF(A103="","",Catalog!A103)</f>
        <v/>
      </c>
      <c r="F103" s="60">
        <f>IF(A103="","",Catalog!J103)</f>
        <v/>
      </c>
      <c r="G103" s="76">
        <f>IF(A103="","",Catalog!L103)</f>
        <v/>
      </c>
      <c r="H103" s="76">
        <f>IF(A103="","",Catalog!K103)</f>
        <v/>
      </c>
      <c r="I103" s="60">
        <f>IF(A103="","",Catalog!F103)</f>
        <v/>
      </c>
      <c r="J103" s="60">
        <f>IF(A103="","",Catalog!G103)</f>
        <v/>
      </c>
      <c r="K103" s="60">
        <f>IF(A103="","","TRUE")</f>
        <v/>
      </c>
      <c r="L103" s="60">
        <f>IF(A103="","","shopify")</f>
        <v/>
      </c>
      <c r="M103" s="60">
        <f>IF(A103="","","deny")</f>
        <v/>
      </c>
      <c r="N103" s="60">
        <f>IF(A103="","","active")</f>
        <v/>
      </c>
      <c r="O103" s="60">
        <f>IF(A103="","",VLOOKUP(E103,Inventory_Live!$A$2:$M$201,4,FALSE))</f>
        <v/>
      </c>
      <c r="P103" s="60">
        <f>IF(A103="","",VLOOKUP(E103,Inventory_Live!$A$2:$M$201,5,FALSE))</f>
        <v/>
      </c>
      <c r="Q103" s="60">
        <f>IF(A103="","",VLOOKUP(E103,Inventory_Live!$A$2:$M$201,6,FALSE))</f>
        <v/>
      </c>
    </row>
    <row r="104">
      <c r="A104" s="60">
        <f>IF(Catalog!N104&lt;&gt;"Yes","",Catalog!B104)</f>
        <v/>
      </c>
      <c r="B104" s="60">
        <f>IF(A104="","",Catalog!C104)</f>
        <v/>
      </c>
      <c r="C104" s="60">
        <f>IF(A104="","",Catalog!H104)</f>
        <v/>
      </c>
      <c r="D104" s="60">
        <f>IF(A104="","",Catalog!I104)</f>
        <v/>
      </c>
      <c r="E104" s="60">
        <f>IF(A104="","",Catalog!A104)</f>
        <v/>
      </c>
      <c r="F104" s="60">
        <f>IF(A104="","",Catalog!J104)</f>
        <v/>
      </c>
      <c r="G104" s="76">
        <f>IF(A104="","",Catalog!L104)</f>
        <v/>
      </c>
      <c r="H104" s="76">
        <f>IF(A104="","",Catalog!K104)</f>
        <v/>
      </c>
      <c r="I104" s="60">
        <f>IF(A104="","",Catalog!F104)</f>
        <v/>
      </c>
      <c r="J104" s="60">
        <f>IF(A104="","",Catalog!G104)</f>
        <v/>
      </c>
      <c r="K104" s="60">
        <f>IF(A104="","","TRUE")</f>
        <v/>
      </c>
      <c r="L104" s="60">
        <f>IF(A104="","","shopify")</f>
        <v/>
      </c>
      <c r="M104" s="60">
        <f>IF(A104="","","deny")</f>
        <v/>
      </c>
      <c r="N104" s="60">
        <f>IF(A104="","","active")</f>
        <v/>
      </c>
      <c r="O104" s="60">
        <f>IF(A104="","",VLOOKUP(E104,Inventory_Live!$A$2:$M$201,4,FALSE))</f>
        <v/>
      </c>
      <c r="P104" s="60">
        <f>IF(A104="","",VLOOKUP(E104,Inventory_Live!$A$2:$M$201,5,FALSE))</f>
        <v/>
      </c>
      <c r="Q104" s="60">
        <f>IF(A104="","",VLOOKUP(E104,Inventory_Live!$A$2:$M$201,6,FALSE))</f>
        <v/>
      </c>
    </row>
    <row r="105">
      <c r="A105" s="60">
        <f>IF(Catalog!N105&lt;&gt;"Yes","",Catalog!B105)</f>
        <v/>
      </c>
      <c r="B105" s="60">
        <f>IF(A105="","",Catalog!C105)</f>
        <v/>
      </c>
      <c r="C105" s="60">
        <f>IF(A105="","",Catalog!H105)</f>
        <v/>
      </c>
      <c r="D105" s="60">
        <f>IF(A105="","",Catalog!I105)</f>
        <v/>
      </c>
      <c r="E105" s="60">
        <f>IF(A105="","",Catalog!A105)</f>
        <v/>
      </c>
      <c r="F105" s="60">
        <f>IF(A105="","",Catalog!J105)</f>
        <v/>
      </c>
      <c r="G105" s="76">
        <f>IF(A105="","",Catalog!L105)</f>
        <v/>
      </c>
      <c r="H105" s="76">
        <f>IF(A105="","",Catalog!K105)</f>
        <v/>
      </c>
      <c r="I105" s="60">
        <f>IF(A105="","",Catalog!F105)</f>
        <v/>
      </c>
      <c r="J105" s="60">
        <f>IF(A105="","",Catalog!G105)</f>
        <v/>
      </c>
      <c r="K105" s="60">
        <f>IF(A105="","","TRUE")</f>
        <v/>
      </c>
      <c r="L105" s="60">
        <f>IF(A105="","","shopify")</f>
        <v/>
      </c>
      <c r="M105" s="60">
        <f>IF(A105="","","deny")</f>
        <v/>
      </c>
      <c r="N105" s="60">
        <f>IF(A105="","","active")</f>
        <v/>
      </c>
      <c r="O105" s="60">
        <f>IF(A105="","",VLOOKUP(E105,Inventory_Live!$A$2:$M$201,4,FALSE))</f>
        <v/>
      </c>
      <c r="P105" s="60">
        <f>IF(A105="","",VLOOKUP(E105,Inventory_Live!$A$2:$M$201,5,FALSE))</f>
        <v/>
      </c>
      <c r="Q105" s="60">
        <f>IF(A105="","",VLOOKUP(E105,Inventory_Live!$A$2:$M$201,6,FALSE))</f>
        <v/>
      </c>
    </row>
    <row r="106">
      <c r="A106" s="60">
        <f>IF(Catalog!N106&lt;&gt;"Yes","",Catalog!B106)</f>
        <v/>
      </c>
      <c r="B106" s="60">
        <f>IF(A106="","",Catalog!C106)</f>
        <v/>
      </c>
      <c r="C106" s="60">
        <f>IF(A106="","",Catalog!H106)</f>
        <v/>
      </c>
      <c r="D106" s="60">
        <f>IF(A106="","",Catalog!I106)</f>
        <v/>
      </c>
      <c r="E106" s="60">
        <f>IF(A106="","",Catalog!A106)</f>
        <v/>
      </c>
      <c r="F106" s="60">
        <f>IF(A106="","",Catalog!J106)</f>
        <v/>
      </c>
      <c r="G106" s="76">
        <f>IF(A106="","",Catalog!L106)</f>
        <v/>
      </c>
      <c r="H106" s="76">
        <f>IF(A106="","",Catalog!K106)</f>
        <v/>
      </c>
      <c r="I106" s="60">
        <f>IF(A106="","",Catalog!F106)</f>
        <v/>
      </c>
      <c r="J106" s="60">
        <f>IF(A106="","",Catalog!G106)</f>
        <v/>
      </c>
      <c r="K106" s="60">
        <f>IF(A106="","","TRUE")</f>
        <v/>
      </c>
      <c r="L106" s="60">
        <f>IF(A106="","","shopify")</f>
        <v/>
      </c>
      <c r="M106" s="60">
        <f>IF(A106="","","deny")</f>
        <v/>
      </c>
      <c r="N106" s="60">
        <f>IF(A106="","","active")</f>
        <v/>
      </c>
      <c r="O106" s="60">
        <f>IF(A106="","",VLOOKUP(E106,Inventory_Live!$A$2:$M$201,4,FALSE))</f>
        <v/>
      </c>
      <c r="P106" s="60">
        <f>IF(A106="","",VLOOKUP(E106,Inventory_Live!$A$2:$M$201,5,FALSE))</f>
        <v/>
      </c>
      <c r="Q106" s="60">
        <f>IF(A106="","",VLOOKUP(E106,Inventory_Live!$A$2:$M$201,6,FALSE))</f>
        <v/>
      </c>
    </row>
    <row r="107">
      <c r="A107" s="60">
        <f>IF(Catalog!N107&lt;&gt;"Yes","",Catalog!B107)</f>
        <v/>
      </c>
      <c r="B107" s="60">
        <f>IF(A107="","",Catalog!C107)</f>
        <v/>
      </c>
      <c r="C107" s="60">
        <f>IF(A107="","",Catalog!H107)</f>
        <v/>
      </c>
      <c r="D107" s="60">
        <f>IF(A107="","",Catalog!I107)</f>
        <v/>
      </c>
      <c r="E107" s="60">
        <f>IF(A107="","",Catalog!A107)</f>
        <v/>
      </c>
      <c r="F107" s="60">
        <f>IF(A107="","",Catalog!J107)</f>
        <v/>
      </c>
      <c r="G107" s="76">
        <f>IF(A107="","",Catalog!L107)</f>
        <v/>
      </c>
      <c r="H107" s="76">
        <f>IF(A107="","",Catalog!K107)</f>
        <v/>
      </c>
      <c r="I107" s="60">
        <f>IF(A107="","",Catalog!F107)</f>
        <v/>
      </c>
      <c r="J107" s="60">
        <f>IF(A107="","",Catalog!G107)</f>
        <v/>
      </c>
      <c r="K107" s="60">
        <f>IF(A107="","","TRUE")</f>
        <v/>
      </c>
      <c r="L107" s="60">
        <f>IF(A107="","","shopify")</f>
        <v/>
      </c>
      <c r="M107" s="60">
        <f>IF(A107="","","deny")</f>
        <v/>
      </c>
      <c r="N107" s="60">
        <f>IF(A107="","","active")</f>
        <v/>
      </c>
      <c r="O107" s="60">
        <f>IF(A107="","",VLOOKUP(E107,Inventory_Live!$A$2:$M$201,4,FALSE))</f>
        <v/>
      </c>
      <c r="P107" s="60">
        <f>IF(A107="","",VLOOKUP(E107,Inventory_Live!$A$2:$M$201,5,FALSE))</f>
        <v/>
      </c>
      <c r="Q107" s="60">
        <f>IF(A107="","",VLOOKUP(E107,Inventory_Live!$A$2:$M$201,6,FALSE))</f>
        <v/>
      </c>
    </row>
    <row r="108">
      <c r="A108" s="60">
        <f>IF(Catalog!N108&lt;&gt;"Yes","",Catalog!B108)</f>
        <v/>
      </c>
      <c r="B108" s="60">
        <f>IF(A108="","",Catalog!C108)</f>
        <v/>
      </c>
      <c r="C108" s="60">
        <f>IF(A108="","",Catalog!H108)</f>
        <v/>
      </c>
      <c r="D108" s="60">
        <f>IF(A108="","",Catalog!I108)</f>
        <v/>
      </c>
      <c r="E108" s="60">
        <f>IF(A108="","",Catalog!A108)</f>
        <v/>
      </c>
      <c r="F108" s="60">
        <f>IF(A108="","",Catalog!J108)</f>
        <v/>
      </c>
      <c r="G108" s="76">
        <f>IF(A108="","",Catalog!L108)</f>
        <v/>
      </c>
      <c r="H108" s="76">
        <f>IF(A108="","",Catalog!K108)</f>
        <v/>
      </c>
      <c r="I108" s="60">
        <f>IF(A108="","",Catalog!F108)</f>
        <v/>
      </c>
      <c r="J108" s="60">
        <f>IF(A108="","",Catalog!G108)</f>
        <v/>
      </c>
      <c r="K108" s="60">
        <f>IF(A108="","","TRUE")</f>
        <v/>
      </c>
      <c r="L108" s="60">
        <f>IF(A108="","","shopify")</f>
        <v/>
      </c>
      <c r="M108" s="60">
        <f>IF(A108="","","deny")</f>
        <v/>
      </c>
      <c r="N108" s="60">
        <f>IF(A108="","","active")</f>
        <v/>
      </c>
      <c r="O108" s="60">
        <f>IF(A108="","",VLOOKUP(E108,Inventory_Live!$A$2:$M$201,4,FALSE))</f>
        <v/>
      </c>
      <c r="P108" s="60">
        <f>IF(A108="","",VLOOKUP(E108,Inventory_Live!$A$2:$M$201,5,FALSE))</f>
        <v/>
      </c>
      <c r="Q108" s="60">
        <f>IF(A108="","",VLOOKUP(E108,Inventory_Live!$A$2:$M$201,6,FALSE))</f>
        <v/>
      </c>
    </row>
    <row r="109">
      <c r="A109" s="60">
        <f>IF(Catalog!N109&lt;&gt;"Yes","",Catalog!B109)</f>
        <v/>
      </c>
      <c r="B109" s="60">
        <f>IF(A109="","",Catalog!C109)</f>
        <v/>
      </c>
      <c r="C109" s="60">
        <f>IF(A109="","",Catalog!H109)</f>
        <v/>
      </c>
      <c r="D109" s="60">
        <f>IF(A109="","",Catalog!I109)</f>
        <v/>
      </c>
      <c r="E109" s="60">
        <f>IF(A109="","",Catalog!A109)</f>
        <v/>
      </c>
      <c r="F109" s="60">
        <f>IF(A109="","",Catalog!J109)</f>
        <v/>
      </c>
      <c r="G109" s="76">
        <f>IF(A109="","",Catalog!L109)</f>
        <v/>
      </c>
      <c r="H109" s="76">
        <f>IF(A109="","",Catalog!K109)</f>
        <v/>
      </c>
      <c r="I109" s="60">
        <f>IF(A109="","",Catalog!F109)</f>
        <v/>
      </c>
      <c r="J109" s="60">
        <f>IF(A109="","",Catalog!G109)</f>
        <v/>
      </c>
      <c r="K109" s="60">
        <f>IF(A109="","","TRUE")</f>
        <v/>
      </c>
      <c r="L109" s="60">
        <f>IF(A109="","","shopify")</f>
        <v/>
      </c>
      <c r="M109" s="60">
        <f>IF(A109="","","deny")</f>
        <v/>
      </c>
      <c r="N109" s="60">
        <f>IF(A109="","","active")</f>
        <v/>
      </c>
      <c r="O109" s="60">
        <f>IF(A109="","",VLOOKUP(E109,Inventory_Live!$A$2:$M$201,4,FALSE))</f>
        <v/>
      </c>
      <c r="P109" s="60">
        <f>IF(A109="","",VLOOKUP(E109,Inventory_Live!$A$2:$M$201,5,FALSE))</f>
        <v/>
      </c>
      <c r="Q109" s="60">
        <f>IF(A109="","",VLOOKUP(E109,Inventory_Live!$A$2:$M$201,6,FALSE))</f>
        <v/>
      </c>
    </row>
    <row r="110">
      <c r="A110" s="60">
        <f>IF(Catalog!N110&lt;&gt;"Yes","",Catalog!B110)</f>
        <v/>
      </c>
      <c r="B110" s="60">
        <f>IF(A110="","",Catalog!C110)</f>
        <v/>
      </c>
      <c r="C110" s="60">
        <f>IF(A110="","",Catalog!H110)</f>
        <v/>
      </c>
      <c r="D110" s="60">
        <f>IF(A110="","",Catalog!I110)</f>
        <v/>
      </c>
      <c r="E110" s="60">
        <f>IF(A110="","",Catalog!A110)</f>
        <v/>
      </c>
      <c r="F110" s="60">
        <f>IF(A110="","",Catalog!J110)</f>
        <v/>
      </c>
      <c r="G110" s="76">
        <f>IF(A110="","",Catalog!L110)</f>
        <v/>
      </c>
      <c r="H110" s="76">
        <f>IF(A110="","",Catalog!K110)</f>
        <v/>
      </c>
      <c r="I110" s="60">
        <f>IF(A110="","",Catalog!F110)</f>
        <v/>
      </c>
      <c r="J110" s="60">
        <f>IF(A110="","",Catalog!G110)</f>
        <v/>
      </c>
      <c r="K110" s="60">
        <f>IF(A110="","","TRUE")</f>
        <v/>
      </c>
      <c r="L110" s="60">
        <f>IF(A110="","","shopify")</f>
        <v/>
      </c>
      <c r="M110" s="60">
        <f>IF(A110="","","deny")</f>
        <v/>
      </c>
      <c r="N110" s="60">
        <f>IF(A110="","","active")</f>
        <v/>
      </c>
      <c r="O110" s="60">
        <f>IF(A110="","",VLOOKUP(E110,Inventory_Live!$A$2:$M$201,4,FALSE))</f>
        <v/>
      </c>
      <c r="P110" s="60">
        <f>IF(A110="","",VLOOKUP(E110,Inventory_Live!$A$2:$M$201,5,FALSE))</f>
        <v/>
      </c>
      <c r="Q110" s="60">
        <f>IF(A110="","",VLOOKUP(E110,Inventory_Live!$A$2:$M$201,6,FALSE))</f>
        <v/>
      </c>
    </row>
    <row r="111">
      <c r="A111" s="60">
        <f>IF(Catalog!N111&lt;&gt;"Yes","",Catalog!B111)</f>
        <v/>
      </c>
      <c r="B111" s="60">
        <f>IF(A111="","",Catalog!C111)</f>
        <v/>
      </c>
      <c r="C111" s="60">
        <f>IF(A111="","",Catalog!H111)</f>
        <v/>
      </c>
      <c r="D111" s="60">
        <f>IF(A111="","",Catalog!I111)</f>
        <v/>
      </c>
      <c r="E111" s="60">
        <f>IF(A111="","",Catalog!A111)</f>
        <v/>
      </c>
      <c r="F111" s="60">
        <f>IF(A111="","",Catalog!J111)</f>
        <v/>
      </c>
      <c r="G111" s="76">
        <f>IF(A111="","",Catalog!L111)</f>
        <v/>
      </c>
      <c r="H111" s="76">
        <f>IF(A111="","",Catalog!K111)</f>
        <v/>
      </c>
      <c r="I111" s="60">
        <f>IF(A111="","",Catalog!F111)</f>
        <v/>
      </c>
      <c r="J111" s="60">
        <f>IF(A111="","",Catalog!G111)</f>
        <v/>
      </c>
      <c r="K111" s="60">
        <f>IF(A111="","","TRUE")</f>
        <v/>
      </c>
      <c r="L111" s="60">
        <f>IF(A111="","","shopify")</f>
        <v/>
      </c>
      <c r="M111" s="60">
        <f>IF(A111="","","deny")</f>
        <v/>
      </c>
      <c r="N111" s="60">
        <f>IF(A111="","","active")</f>
        <v/>
      </c>
      <c r="O111" s="60">
        <f>IF(A111="","",VLOOKUP(E111,Inventory_Live!$A$2:$M$201,4,FALSE))</f>
        <v/>
      </c>
      <c r="P111" s="60">
        <f>IF(A111="","",VLOOKUP(E111,Inventory_Live!$A$2:$M$201,5,FALSE))</f>
        <v/>
      </c>
      <c r="Q111" s="60">
        <f>IF(A111="","",VLOOKUP(E111,Inventory_Live!$A$2:$M$201,6,FALSE))</f>
        <v/>
      </c>
    </row>
    <row r="112">
      <c r="A112" s="60">
        <f>IF(Catalog!N112&lt;&gt;"Yes","",Catalog!B112)</f>
        <v/>
      </c>
      <c r="B112" s="60">
        <f>IF(A112="","",Catalog!C112)</f>
        <v/>
      </c>
      <c r="C112" s="60">
        <f>IF(A112="","",Catalog!H112)</f>
        <v/>
      </c>
      <c r="D112" s="60">
        <f>IF(A112="","",Catalog!I112)</f>
        <v/>
      </c>
      <c r="E112" s="60">
        <f>IF(A112="","",Catalog!A112)</f>
        <v/>
      </c>
      <c r="F112" s="60">
        <f>IF(A112="","",Catalog!J112)</f>
        <v/>
      </c>
      <c r="G112" s="76">
        <f>IF(A112="","",Catalog!L112)</f>
        <v/>
      </c>
      <c r="H112" s="76">
        <f>IF(A112="","",Catalog!K112)</f>
        <v/>
      </c>
      <c r="I112" s="60">
        <f>IF(A112="","",Catalog!F112)</f>
        <v/>
      </c>
      <c r="J112" s="60">
        <f>IF(A112="","",Catalog!G112)</f>
        <v/>
      </c>
      <c r="K112" s="60">
        <f>IF(A112="","","TRUE")</f>
        <v/>
      </c>
      <c r="L112" s="60">
        <f>IF(A112="","","shopify")</f>
        <v/>
      </c>
      <c r="M112" s="60">
        <f>IF(A112="","","deny")</f>
        <v/>
      </c>
      <c r="N112" s="60">
        <f>IF(A112="","","active")</f>
        <v/>
      </c>
      <c r="O112" s="60">
        <f>IF(A112="","",VLOOKUP(E112,Inventory_Live!$A$2:$M$201,4,FALSE))</f>
        <v/>
      </c>
      <c r="P112" s="60">
        <f>IF(A112="","",VLOOKUP(E112,Inventory_Live!$A$2:$M$201,5,FALSE))</f>
        <v/>
      </c>
      <c r="Q112" s="60">
        <f>IF(A112="","",VLOOKUP(E112,Inventory_Live!$A$2:$M$201,6,FALSE))</f>
        <v/>
      </c>
    </row>
    <row r="113">
      <c r="A113" s="60">
        <f>IF(Catalog!N113&lt;&gt;"Yes","",Catalog!B113)</f>
        <v/>
      </c>
      <c r="B113" s="60">
        <f>IF(A113="","",Catalog!C113)</f>
        <v/>
      </c>
      <c r="C113" s="60">
        <f>IF(A113="","",Catalog!H113)</f>
        <v/>
      </c>
      <c r="D113" s="60">
        <f>IF(A113="","",Catalog!I113)</f>
        <v/>
      </c>
      <c r="E113" s="60">
        <f>IF(A113="","",Catalog!A113)</f>
        <v/>
      </c>
      <c r="F113" s="60">
        <f>IF(A113="","",Catalog!J113)</f>
        <v/>
      </c>
      <c r="G113" s="76">
        <f>IF(A113="","",Catalog!L113)</f>
        <v/>
      </c>
      <c r="H113" s="76">
        <f>IF(A113="","",Catalog!K113)</f>
        <v/>
      </c>
      <c r="I113" s="60">
        <f>IF(A113="","",Catalog!F113)</f>
        <v/>
      </c>
      <c r="J113" s="60">
        <f>IF(A113="","",Catalog!G113)</f>
        <v/>
      </c>
      <c r="K113" s="60">
        <f>IF(A113="","","TRUE")</f>
        <v/>
      </c>
      <c r="L113" s="60">
        <f>IF(A113="","","shopify")</f>
        <v/>
      </c>
      <c r="M113" s="60">
        <f>IF(A113="","","deny")</f>
        <v/>
      </c>
      <c r="N113" s="60">
        <f>IF(A113="","","active")</f>
        <v/>
      </c>
      <c r="O113" s="60">
        <f>IF(A113="","",VLOOKUP(E113,Inventory_Live!$A$2:$M$201,4,FALSE))</f>
        <v/>
      </c>
      <c r="P113" s="60">
        <f>IF(A113="","",VLOOKUP(E113,Inventory_Live!$A$2:$M$201,5,FALSE))</f>
        <v/>
      </c>
      <c r="Q113" s="60">
        <f>IF(A113="","",VLOOKUP(E113,Inventory_Live!$A$2:$M$201,6,FALSE))</f>
        <v/>
      </c>
    </row>
    <row r="114">
      <c r="A114" s="60">
        <f>IF(Catalog!N114&lt;&gt;"Yes","",Catalog!B114)</f>
        <v/>
      </c>
      <c r="B114" s="60">
        <f>IF(A114="","",Catalog!C114)</f>
        <v/>
      </c>
      <c r="C114" s="60">
        <f>IF(A114="","",Catalog!H114)</f>
        <v/>
      </c>
      <c r="D114" s="60">
        <f>IF(A114="","",Catalog!I114)</f>
        <v/>
      </c>
      <c r="E114" s="60">
        <f>IF(A114="","",Catalog!A114)</f>
        <v/>
      </c>
      <c r="F114" s="60">
        <f>IF(A114="","",Catalog!J114)</f>
        <v/>
      </c>
      <c r="G114" s="76">
        <f>IF(A114="","",Catalog!L114)</f>
        <v/>
      </c>
      <c r="H114" s="76">
        <f>IF(A114="","",Catalog!K114)</f>
        <v/>
      </c>
      <c r="I114" s="60">
        <f>IF(A114="","",Catalog!F114)</f>
        <v/>
      </c>
      <c r="J114" s="60">
        <f>IF(A114="","",Catalog!G114)</f>
        <v/>
      </c>
      <c r="K114" s="60">
        <f>IF(A114="","","TRUE")</f>
        <v/>
      </c>
      <c r="L114" s="60">
        <f>IF(A114="","","shopify")</f>
        <v/>
      </c>
      <c r="M114" s="60">
        <f>IF(A114="","","deny")</f>
        <v/>
      </c>
      <c r="N114" s="60">
        <f>IF(A114="","","active")</f>
        <v/>
      </c>
      <c r="O114" s="60">
        <f>IF(A114="","",VLOOKUP(E114,Inventory_Live!$A$2:$M$201,4,FALSE))</f>
        <v/>
      </c>
      <c r="P114" s="60">
        <f>IF(A114="","",VLOOKUP(E114,Inventory_Live!$A$2:$M$201,5,FALSE))</f>
        <v/>
      </c>
      <c r="Q114" s="60">
        <f>IF(A114="","",VLOOKUP(E114,Inventory_Live!$A$2:$M$201,6,FALSE))</f>
        <v/>
      </c>
    </row>
    <row r="115">
      <c r="A115" s="60">
        <f>IF(Catalog!N115&lt;&gt;"Yes","",Catalog!B115)</f>
        <v/>
      </c>
      <c r="B115" s="60">
        <f>IF(A115="","",Catalog!C115)</f>
        <v/>
      </c>
      <c r="C115" s="60">
        <f>IF(A115="","",Catalog!H115)</f>
        <v/>
      </c>
      <c r="D115" s="60">
        <f>IF(A115="","",Catalog!I115)</f>
        <v/>
      </c>
      <c r="E115" s="60">
        <f>IF(A115="","",Catalog!A115)</f>
        <v/>
      </c>
      <c r="F115" s="60">
        <f>IF(A115="","",Catalog!J115)</f>
        <v/>
      </c>
      <c r="G115" s="76">
        <f>IF(A115="","",Catalog!L115)</f>
        <v/>
      </c>
      <c r="H115" s="76">
        <f>IF(A115="","",Catalog!K115)</f>
        <v/>
      </c>
      <c r="I115" s="60">
        <f>IF(A115="","",Catalog!F115)</f>
        <v/>
      </c>
      <c r="J115" s="60">
        <f>IF(A115="","",Catalog!G115)</f>
        <v/>
      </c>
      <c r="K115" s="60">
        <f>IF(A115="","","TRUE")</f>
        <v/>
      </c>
      <c r="L115" s="60">
        <f>IF(A115="","","shopify")</f>
        <v/>
      </c>
      <c r="M115" s="60">
        <f>IF(A115="","","deny")</f>
        <v/>
      </c>
      <c r="N115" s="60">
        <f>IF(A115="","","active")</f>
        <v/>
      </c>
      <c r="O115" s="60">
        <f>IF(A115="","",VLOOKUP(E115,Inventory_Live!$A$2:$M$201,4,FALSE))</f>
        <v/>
      </c>
      <c r="P115" s="60">
        <f>IF(A115="","",VLOOKUP(E115,Inventory_Live!$A$2:$M$201,5,FALSE))</f>
        <v/>
      </c>
      <c r="Q115" s="60">
        <f>IF(A115="","",VLOOKUP(E115,Inventory_Live!$A$2:$M$201,6,FALSE))</f>
        <v/>
      </c>
    </row>
    <row r="116">
      <c r="A116" s="60">
        <f>IF(Catalog!N116&lt;&gt;"Yes","",Catalog!B116)</f>
        <v/>
      </c>
      <c r="B116" s="60">
        <f>IF(A116="","",Catalog!C116)</f>
        <v/>
      </c>
      <c r="C116" s="60">
        <f>IF(A116="","",Catalog!H116)</f>
        <v/>
      </c>
      <c r="D116" s="60">
        <f>IF(A116="","",Catalog!I116)</f>
        <v/>
      </c>
      <c r="E116" s="60">
        <f>IF(A116="","",Catalog!A116)</f>
        <v/>
      </c>
      <c r="F116" s="60">
        <f>IF(A116="","",Catalog!J116)</f>
        <v/>
      </c>
      <c r="G116" s="76">
        <f>IF(A116="","",Catalog!L116)</f>
        <v/>
      </c>
      <c r="H116" s="76">
        <f>IF(A116="","",Catalog!K116)</f>
        <v/>
      </c>
      <c r="I116" s="60">
        <f>IF(A116="","",Catalog!F116)</f>
        <v/>
      </c>
      <c r="J116" s="60">
        <f>IF(A116="","",Catalog!G116)</f>
        <v/>
      </c>
      <c r="K116" s="60">
        <f>IF(A116="","","TRUE")</f>
        <v/>
      </c>
      <c r="L116" s="60">
        <f>IF(A116="","","shopify")</f>
        <v/>
      </c>
      <c r="M116" s="60">
        <f>IF(A116="","","deny")</f>
        <v/>
      </c>
      <c r="N116" s="60">
        <f>IF(A116="","","active")</f>
        <v/>
      </c>
      <c r="O116" s="60">
        <f>IF(A116="","",VLOOKUP(E116,Inventory_Live!$A$2:$M$201,4,FALSE))</f>
        <v/>
      </c>
      <c r="P116" s="60">
        <f>IF(A116="","",VLOOKUP(E116,Inventory_Live!$A$2:$M$201,5,FALSE))</f>
        <v/>
      </c>
      <c r="Q116" s="60">
        <f>IF(A116="","",VLOOKUP(E116,Inventory_Live!$A$2:$M$201,6,FALSE))</f>
        <v/>
      </c>
    </row>
    <row r="117">
      <c r="A117" s="60">
        <f>IF(Catalog!N117&lt;&gt;"Yes","",Catalog!B117)</f>
        <v/>
      </c>
      <c r="B117" s="60">
        <f>IF(A117="","",Catalog!C117)</f>
        <v/>
      </c>
      <c r="C117" s="60">
        <f>IF(A117="","",Catalog!H117)</f>
        <v/>
      </c>
      <c r="D117" s="60">
        <f>IF(A117="","",Catalog!I117)</f>
        <v/>
      </c>
      <c r="E117" s="60">
        <f>IF(A117="","",Catalog!A117)</f>
        <v/>
      </c>
      <c r="F117" s="60">
        <f>IF(A117="","",Catalog!J117)</f>
        <v/>
      </c>
      <c r="G117" s="76">
        <f>IF(A117="","",Catalog!L117)</f>
        <v/>
      </c>
      <c r="H117" s="76">
        <f>IF(A117="","",Catalog!K117)</f>
        <v/>
      </c>
      <c r="I117" s="60">
        <f>IF(A117="","",Catalog!F117)</f>
        <v/>
      </c>
      <c r="J117" s="60">
        <f>IF(A117="","",Catalog!G117)</f>
        <v/>
      </c>
      <c r="K117" s="60">
        <f>IF(A117="","","TRUE")</f>
        <v/>
      </c>
      <c r="L117" s="60">
        <f>IF(A117="","","shopify")</f>
        <v/>
      </c>
      <c r="M117" s="60">
        <f>IF(A117="","","deny")</f>
        <v/>
      </c>
      <c r="N117" s="60">
        <f>IF(A117="","","active")</f>
        <v/>
      </c>
      <c r="O117" s="60">
        <f>IF(A117="","",VLOOKUP(E117,Inventory_Live!$A$2:$M$201,4,FALSE))</f>
        <v/>
      </c>
      <c r="P117" s="60">
        <f>IF(A117="","",VLOOKUP(E117,Inventory_Live!$A$2:$M$201,5,FALSE))</f>
        <v/>
      </c>
      <c r="Q117" s="60">
        <f>IF(A117="","",VLOOKUP(E117,Inventory_Live!$A$2:$M$201,6,FALSE))</f>
        <v/>
      </c>
    </row>
    <row r="118">
      <c r="A118" s="60">
        <f>IF(Catalog!N118&lt;&gt;"Yes","",Catalog!B118)</f>
        <v/>
      </c>
      <c r="B118" s="60">
        <f>IF(A118="","",Catalog!C118)</f>
        <v/>
      </c>
      <c r="C118" s="60">
        <f>IF(A118="","",Catalog!H118)</f>
        <v/>
      </c>
      <c r="D118" s="60">
        <f>IF(A118="","",Catalog!I118)</f>
        <v/>
      </c>
      <c r="E118" s="60">
        <f>IF(A118="","",Catalog!A118)</f>
        <v/>
      </c>
      <c r="F118" s="60">
        <f>IF(A118="","",Catalog!J118)</f>
        <v/>
      </c>
      <c r="G118" s="76">
        <f>IF(A118="","",Catalog!L118)</f>
        <v/>
      </c>
      <c r="H118" s="76">
        <f>IF(A118="","",Catalog!K118)</f>
        <v/>
      </c>
      <c r="I118" s="60">
        <f>IF(A118="","",Catalog!F118)</f>
        <v/>
      </c>
      <c r="J118" s="60">
        <f>IF(A118="","",Catalog!G118)</f>
        <v/>
      </c>
      <c r="K118" s="60">
        <f>IF(A118="","","TRUE")</f>
        <v/>
      </c>
      <c r="L118" s="60">
        <f>IF(A118="","","shopify")</f>
        <v/>
      </c>
      <c r="M118" s="60">
        <f>IF(A118="","","deny")</f>
        <v/>
      </c>
      <c r="N118" s="60">
        <f>IF(A118="","","active")</f>
        <v/>
      </c>
      <c r="O118" s="60">
        <f>IF(A118="","",VLOOKUP(E118,Inventory_Live!$A$2:$M$201,4,FALSE))</f>
        <v/>
      </c>
      <c r="P118" s="60">
        <f>IF(A118="","",VLOOKUP(E118,Inventory_Live!$A$2:$M$201,5,FALSE))</f>
        <v/>
      </c>
      <c r="Q118" s="60">
        <f>IF(A118="","",VLOOKUP(E118,Inventory_Live!$A$2:$M$201,6,FALSE))</f>
        <v/>
      </c>
    </row>
    <row r="119">
      <c r="A119" s="60">
        <f>IF(Catalog!N119&lt;&gt;"Yes","",Catalog!B119)</f>
        <v/>
      </c>
      <c r="B119" s="60">
        <f>IF(A119="","",Catalog!C119)</f>
        <v/>
      </c>
      <c r="C119" s="60">
        <f>IF(A119="","",Catalog!H119)</f>
        <v/>
      </c>
      <c r="D119" s="60">
        <f>IF(A119="","",Catalog!I119)</f>
        <v/>
      </c>
      <c r="E119" s="60">
        <f>IF(A119="","",Catalog!A119)</f>
        <v/>
      </c>
      <c r="F119" s="60">
        <f>IF(A119="","",Catalog!J119)</f>
        <v/>
      </c>
      <c r="G119" s="76">
        <f>IF(A119="","",Catalog!L119)</f>
        <v/>
      </c>
      <c r="H119" s="76">
        <f>IF(A119="","",Catalog!K119)</f>
        <v/>
      </c>
      <c r="I119" s="60">
        <f>IF(A119="","",Catalog!F119)</f>
        <v/>
      </c>
      <c r="J119" s="60">
        <f>IF(A119="","",Catalog!G119)</f>
        <v/>
      </c>
      <c r="K119" s="60">
        <f>IF(A119="","","TRUE")</f>
        <v/>
      </c>
      <c r="L119" s="60">
        <f>IF(A119="","","shopify")</f>
        <v/>
      </c>
      <c r="M119" s="60">
        <f>IF(A119="","","deny")</f>
        <v/>
      </c>
      <c r="N119" s="60">
        <f>IF(A119="","","active")</f>
        <v/>
      </c>
      <c r="O119" s="60">
        <f>IF(A119="","",VLOOKUP(E119,Inventory_Live!$A$2:$M$201,4,FALSE))</f>
        <v/>
      </c>
      <c r="P119" s="60">
        <f>IF(A119="","",VLOOKUP(E119,Inventory_Live!$A$2:$M$201,5,FALSE))</f>
        <v/>
      </c>
      <c r="Q119" s="60">
        <f>IF(A119="","",VLOOKUP(E119,Inventory_Live!$A$2:$M$201,6,FALSE))</f>
        <v/>
      </c>
    </row>
    <row r="120">
      <c r="A120" s="60">
        <f>IF(Catalog!N120&lt;&gt;"Yes","",Catalog!B120)</f>
        <v/>
      </c>
      <c r="B120" s="60">
        <f>IF(A120="","",Catalog!C120)</f>
        <v/>
      </c>
      <c r="C120" s="60">
        <f>IF(A120="","",Catalog!H120)</f>
        <v/>
      </c>
      <c r="D120" s="60">
        <f>IF(A120="","",Catalog!I120)</f>
        <v/>
      </c>
      <c r="E120" s="60">
        <f>IF(A120="","",Catalog!A120)</f>
        <v/>
      </c>
      <c r="F120" s="60">
        <f>IF(A120="","",Catalog!J120)</f>
        <v/>
      </c>
      <c r="G120" s="76">
        <f>IF(A120="","",Catalog!L120)</f>
        <v/>
      </c>
      <c r="H120" s="76">
        <f>IF(A120="","",Catalog!K120)</f>
        <v/>
      </c>
      <c r="I120" s="60">
        <f>IF(A120="","",Catalog!F120)</f>
        <v/>
      </c>
      <c r="J120" s="60">
        <f>IF(A120="","",Catalog!G120)</f>
        <v/>
      </c>
      <c r="K120" s="60">
        <f>IF(A120="","","TRUE")</f>
        <v/>
      </c>
      <c r="L120" s="60">
        <f>IF(A120="","","shopify")</f>
        <v/>
      </c>
      <c r="M120" s="60">
        <f>IF(A120="","","deny")</f>
        <v/>
      </c>
      <c r="N120" s="60">
        <f>IF(A120="","","active")</f>
        <v/>
      </c>
      <c r="O120" s="60">
        <f>IF(A120="","",VLOOKUP(E120,Inventory_Live!$A$2:$M$201,4,FALSE))</f>
        <v/>
      </c>
      <c r="P120" s="60">
        <f>IF(A120="","",VLOOKUP(E120,Inventory_Live!$A$2:$M$201,5,FALSE))</f>
        <v/>
      </c>
      <c r="Q120" s="60">
        <f>IF(A120="","",VLOOKUP(E120,Inventory_Live!$A$2:$M$201,6,FALSE))</f>
        <v/>
      </c>
    </row>
    <row r="121">
      <c r="A121" s="60">
        <f>IF(Catalog!N121&lt;&gt;"Yes","",Catalog!B121)</f>
        <v/>
      </c>
      <c r="B121" s="60">
        <f>IF(A121="","",Catalog!C121)</f>
        <v/>
      </c>
      <c r="C121" s="60">
        <f>IF(A121="","",Catalog!H121)</f>
        <v/>
      </c>
      <c r="D121" s="60">
        <f>IF(A121="","",Catalog!I121)</f>
        <v/>
      </c>
      <c r="E121" s="60">
        <f>IF(A121="","",Catalog!A121)</f>
        <v/>
      </c>
      <c r="F121" s="60">
        <f>IF(A121="","",Catalog!J121)</f>
        <v/>
      </c>
      <c r="G121" s="76">
        <f>IF(A121="","",Catalog!L121)</f>
        <v/>
      </c>
      <c r="H121" s="76">
        <f>IF(A121="","",Catalog!K121)</f>
        <v/>
      </c>
      <c r="I121" s="60">
        <f>IF(A121="","",Catalog!F121)</f>
        <v/>
      </c>
      <c r="J121" s="60">
        <f>IF(A121="","",Catalog!G121)</f>
        <v/>
      </c>
      <c r="K121" s="60">
        <f>IF(A121="","","TRUE")</f>
        <v/>
      </c>
      <c r="L121" s="60">
        <f>IF(A121="","","shopify")</f>
        <v/>
      </c>
      <c r="M121" s="60">
        <f>IF(A121="","","deny")</f>
        <v/>
      </c>
      <c r="N121" s="60">
        <f>IF(A121="","","active")</f>
        <v/>
      </c>
      <c r="O121" s="60">
        <f>IF(A121="","",VLOOKUP(E121,Inventory_Live!$A$2:$M$201,4,FALSE))</f>
        <v/>
      </c>
      <c r="P121" s="60">
        <f>IF(A121="","",VLOOKUP(E121,Inventory_Live!$A$2:$M$201,5,FALSE))</f>
        <v/>
      </c>
      <c r="Q121" s="60">
        <f>IF(A121="","",VLOOKUP(E121,Inventory_Live!$A$2:$M$201,6,FALSE))</f>
        <v/>
      </c>
    </row>
    <row r="122">
      <c r="A122" s="60">
        <f>IF(Catalog!N122&lt;&gt;"Yes","",Catalog!B122)</f>
        <v/>
      </c>
      <c r="B122" s="60">
        <f>IF(A122="","",Catalog!C122)</f>
        <v/>
      </c>
      <c r="C122" s="60">
        <f>IF(A122="","",Catalog!H122)</f>
        <v/>
      </c>
      <c r="D122" s="60">
        <f>IF(A122="","",Catalog!I122)</f>
        <v/>
      </c>
      <c r="E122" s="60">
        <f>IF(A122="","",Catalog!A122)</f>
        <v/>
      </c>
      <c r="F122" s="60">
        <f>IF(A122="","",Catalog!J122)</f>
        <v/>
      </c>
      <c r="G122" s="76">
        <f>IF(A122="","",Catalog!L122)</f>
        <v/>
      </c>
      <c r="H122" s="76">
        <f>IF(A122="","",Catalog!K122)</f>
        <v/>
      </c>
      <c r="I122" s="60">
        <f>IF(A122="","",Catalog!F122)</f>
        <v/>
      </c>
      <c r="J122" s="60">
        <f>IF(A122="","",Catalog!G122)</f>
        <v/>
      </c>
      <c r="K122" s="60">
        <f>IF(A122="","","TRUE")</f>
        <v/>
      </c>
      <c r="L122" s="60">
        <f>IF(A122="","","shopify")</f>
        <v/>
      </c>
      <c r="M122" s="60">
        <f>IF(A122="","","deny")</f>
        <v/>
      </c>
      <c r="N122" s="60">
        <f>IF(A122="","","active")</f>
        <v/>
      </c>
      <c r="O122" s="60">
        <f>IF(A122="","",VLOOKUP(E122,Inventory_Live!$A$2:$M$201,4,FALSE))</f>
        <v/>
      </c>
      <c r="P122" s="60">
        <f>IF(A122="","",VLOOKUP(E122,Inventory_Live!$A$2:$M$201,5,FALSE))</f>
        <v/>
      </c>
      <c r="Q122" s="60">
        <f>IF(A122="","",VLOOKUP(E122,Inventory_Live!$A$2:$M$201,6,FALSE))</f>
        <v/>
      </c>
    </row>
    <row r="123">
      <c r="A123" s="60">
        <f>IF(Catalog!N123&lt;&gt;"Yes","",Catalog!B123)</f>
        <v/>
      </c>
      <c r="B123" s="60">
        <f>IF(A123="","",Catalog!C123)</f>
        <v/>
      </c>
      <c r="C123" s="60">
        <f>IF(A123="","",Catalog!H123)</f>
        <v/>
      </c>
      <c r="D123" s="60">
        <f>IF(A123="","",Catalog!I123)</f>
        <v/>
      </c>
      <c r="E123" s="60">
        <f>IF(A123="","",Catalog!A123)</f>
        <v/>
      </c>
      <c r="F123" s="60">
        <f>IF(A123="","",Catalog!J123)</f>
        <v/>
      </c>
      <c r="G123" s="76">
        <f>IF(A123="","",Catalog!L123)</f>
        <v/>
      </c>
      <c r="H123" s="76">
        <f>IF(A123="","",Catalog!K123)</f>
        <v/>
      </c>
      <c r="I123" s="60">
        <f>IF(A123="","",Catalog!F123)</f>
        <v/>
      </c>
      <c r="J123" s="60">
        <f>IF(A123="","",Catalog!G123)</f>
        <v/>
      </c>
      <c r="K123" s="60">
        <f>IF(A123="","","TRUE")</f>
        <v/>
      </c>
      <c r="L123" s="60">
        <f>IF(A123="","","shopify")</f>
        <v/>
      </c>
      <c r="M123" s="60">
        <f>IF(A123="","","deny")</f>
        <v/>
      </c>
      <c r="N123" s="60">
        <f>IF(A123="","","active")</f>
        <v/>
      </c>
      <c r="O123" s="60">
        <f>IF(A123="","",VLOOKUP(E123,Inventory_Live!$A$2:$M$201,4,FALSE))</f>
        <v/>
      </c>
      <c r="P123" s="60">
        <f>IF(A123="","",VLOOKUP(E123,Inventory_Live!$A$2:$M$201,5,FALSE))</f>
        <v/>
      </c>
      <c r="Q123" s="60">
        <f>IF(A123="","",VLOOKUP(E123,Inventory_Live!$A$2:$M$201,6,FALSE))</f>
        <v/>
      </c>
    </row>
    <row r="124">
      <c r="A124" s="60">
        <f>IF(Catalog!N124&lt;&gt;"Yes","",Catalog!B124)</f>
        <v/>
      </c>
      <c r="B124" s="60">
        <f>IF(A124="","",Catalog!C124)</f>
        <v/>
      </c>
      <c r="C124" s="60">
        <f>IF(A124="","",Catalog!H124)</f>
        <v/>
      </c>
      <c r="D124" s="60">
        <f>IF(A124="","",Catalog!I124)</f>
        <v/>
      </c>
      <c r="E124" s="60">
        <f>IF(A124="","",Catalog!A124)</f>
        <v/>
      </c>
      <c r="F124" s="60">
        <f>IF(A124="","",Catalog!J124)</f>
        <v/>
      </c>
      <c r="G124" s="76">
        <f>IF(A124="","",Catalog!L124)</f>
        <v/>
      </c>
      <c r="H124" s="76">
        <f>IF(A124="","",Catalog!K124)</f>
        <v/>
      </c>
      <c r="I124" s="60">
        <f>IF(A124="","",Catalog!F124)</f>
        <v/>
      </c>
      <c r="J124" s="60">
        <f>IF(A124="","",Catalog!G124)</f>
        <v/>
      </c>
      <c r="K124" s="60">
        <f>IF(A124="","","TRUE")</f>
        <v/>
      </c>
      <c r="L124" s="60">
        <f>IF(A124="","","shopify")</f>
        <v/>
      </c>
      <c r="M124" s="60">
        <f>IF(A124="","","deny")</f>
        <v/>
      </c>
      <c r="N124" s="60">
        <f>IF(A124="","","active")</f>
        <v/>
      </c>
      <c r="O124" s="60">
        <f>IF(A124="","",VLOOKUP(E124,Inventory_Live!$A$2:$M$201,4,FALSE))</f>
        <v/>
      </c>
      <c r="P124" s="60">
        <f>IF(A124="","",VLOOKUP(E124,Inventory_Live!$A$2:$M$201,5,FALSE))</f>
        <v/>
      </c>
      <c r="Q124" s="60">
        <f>IF(A124="","",VLOOKUP(E124,Inventory_Live!$A$2:$M$201,6,FALSE))</f>
        <v/>
      </c>
    </row>
    <row r="125">
      <c r="A125" s="60">
        <f>IF(Catalog!N125&lt;&gt;"Yes","",Catalog!B125)</f>
        <v/>
      </c>
      <c r="B125" s="60">
        <f>IF(A125="","",Catalog!C125)</f>
        <v/>
      </c>
      <c r="C125" s="60">
        <f>IF(A125="","",Catalog!H125)</f>
        <v/>
      </c>
      <c r="D125" s="60">
        <f>IF(A125="","",Catalog!I125)</f>
        <v/>
      </c>
      <c r="E125" s="60">
        <f>IF(A125="","",Catalog!A125)</f>
        <v/>
      </c>
      <c r="F125" s="60">
        <f>IF(A125="","",Catalog!J125)</f>
        <v/>
      </c>
      <c r="G125" s="76">
        <f>IF(A125="","",Catalog!L125)</f>
        <v/>
      </c>
      <c r="H125" s="76">
        <f>IF(A125="","",Catalog!K125)</f>
        <v/>
      </c>
      <c r="I125" s="60">
        <f>IF(A125="","",Catalog!F125)</f>
        <v/>
      </c>
      <c r="J125" s="60">
        <f>IF(A125="","",Catalog!G125)</f>
        <v/>
      </c>
      <c r="K125" s="60">
        <f>IF(A125="","","TRUE")</f>
        <v/>
      </c>
      <c r="L125" s="60">
        <f>IF(A125="","","shopify")</f>
        <v/>
      </c>
      <c r="M125" s="60">
        <f>IF(A125="","","deny")</f>
        <v/>
      </c>
      <c r="N125" s="60">
        <f>IF(A125="","","active")</f>
        <v/>
      </c>
      <c r="O125" s="60">
        <f>IF(A125="","",VLOOKUP(E125,Inventory_Live!$A$2:$M$201,4,FALSE))</f>
        <v/>
      </c>
      <c r="P125" s="60">
        <f>IF(A125="","",VLOOKUP(E125,Inventory_Live!$A$2:$M$201,5,FALSE))</f>
        <v/>
      </c>
      <c r="Q125" s="60">
        <f>IF(A125="","",VLOOKUP(E125,Inventory_Live!$A$2:$M$201,6,FALSE))</f>
        <v/>
      </c>
    </row>
    <row r="126">
      <c r="A126" s="60">
        <f>IF(Catalog!N126&lt;&gt;"Yes","",Catalog!B126)</f>
        <v/>
      </c>
      <c r="B126" s="60">
        <f>IF(A126="","",Catalog!C126)</f>
        <v/>
      </c>
      <c r="C126" s="60">
        <f>IF(A126="","",Catalog!H126)</f>
        <v/>
      </c>
      <c r="D126" s="60">
        <f>IF(A126="","",Catalog!I126)</f>
        <v/>
      </c>
      <c r="E126" s="60">
        <f>IF(A126="","",Catalog!A126)</f>
        <v/>
      </c>
      <c r="F126" s="60">
        <f>IF(A126="","",Catalog!J126)</f>
        <v/>
      </c>
      <c r="G126" s="76">
        <f>IF(A126="","",Catalog!L126)</f>
        <v/>
      </c>
      <c r="H126" s="76">
        <f>IF(A126="","",Catalog!K126)</f>
        <v/>
      </c>
      <c r="I126" s="60">
        <f>IF(A126="","",Catalog!F126)</f>
        <v/>
      </c>
      <c r="J126" s="60">
        <f>IF(A126="","",Catalog!G126)</f>
        <v/>
      </c>
      <c r="K126" s="60">
        <f>IF(A126="","","TRUE")</f>
        <v/>
      </c>
      <c r="L126" s="60">
        <f>IF(A126="","","shopify")</f>
        <v/>
      </c>
      <c r="M126" s="60">
        <f>IF(A126="","","deny")</f>
        <v/>
      </c>
      <c r="N126" s="60">
        <f>IF(A126="","","active")</f>
        <v/>
      </c>
      <c r="O126" s="60">
        <f>IF(A126="","",VLOOKUP(E126,Inventory_Live!$A$2:$M$201,4,FALSE))</f>
        <v/>
      </c>
      <c r="P126" s="60">
        <f>IF(A126="","",VLOOKUP(E126,Inventory_Live!$A$2:$M$201,5,FALSE))</f>
        <v/>
      </c>
      <c r="Q126" s="60">
        <f>IF(A126="","",VLOOKUP(E126,Inventory_Live!$A$2:$M$201,6,FALSE))</f>
        <v/>
      </c>
    </row>
    <row r="127">
      <c r="A127" s="60">
        <f>IF(Catalog!N127&lt;&gt;"Yes","",Catalog!B127)</f>
        <v/>
      </c>
      <c r="B127" s="60">
        <f>IF(A127="","",Catalog!C127)</f>
        <v/>
      </c>
      <c r="C127" s="60">
        <f>IF(A127="","",Catalog!H127)</f>
        <v/>
      </c>
      <c r="D127" s="60">
        <f>IF(A127="","",Catalog!I127)</f>
        <v/>
      </c>
      <c r="E127" s="60">
        <f>IF(A127="","",Catalog!A127)</f>
        <v/>
      </c>
      <c r="F127" s="60">
        <f>IF(A127="","",Catalog!J127)</f>
        <v/>
      </c>
      <c r="G127" s="76">
        <f>IF(A127="","",Catalog!L127)</f>
        <v/>
      </c>
      <c r="H127" s="76">
        <f>IF(A127="","",Catalog!K127)</f>
        <v/>
      </c>
      <c r="I127" s="60">
        <f>IF(A127="","",Catalog!F127)</f>
        <v/>
      </c>
      <c r="J127" s="60">
        <f>IF(A127="","",Catalog!G127)</f>
        <v/>
      </c>
      <c r="K127" s="60">
        <f>IF(A127="","","TRUE")</f>
        <v/>
      </c>
      <c r="L127" s="60">
        <f>IF(A127="","","shopify")</f>
        <v/>
      </c>
      <c r="M127" s="60">
        <f>IF(A127="","","deny")</f>
        <v/>
      </c>
      <c r="N127" s="60">
        <f>IF(A127="","","active")</f>
        <v/>
      </c>
      <c r="O127" s="60">
        <f>IF(A127="","",VLOOKUP(E127,Inventory_Live!$A$2:$M$201,4,FALSE))</f>
        <v/>
      </c>
      <c r="P127" s="60">
        <f>IF(A127="","",VLOOKUP(E127,Inventory_Live!$A$2:$M$201,5,FALSE))</f>
        <v/>
      </c>
      <c r="Q127" s="60">
        <f>IF(A127="","",VLOOKUP(E127,Inventory_Live!$A$2:$M$201,6,FALSE))</f>
        <v/>
      </c>
    </row>
    <row r="128">
      <c r="A128" s="60">
        <f>IF(Catalog!N128&lt;&gt;"Yes","",Catalog!B128)</f>
        <v/>
      </c>
      <c r="B128" s="60">
        <f>IF(A128="","",Catalog!C128)</f>
        <v/>
      </c>
      <c r="C128" s="60">
        <f>IF(A128="","",Catalog!H128)</f>
        <v/>
      </c>
      <c r="D128" s="60">
        <f>IF(A128="","",Catalog!I128)</f>
        <v/>
      </c>
      <c r="E128" s="60">
        <f>IF(A128="","",Catalog!A128)</f>
        <v/>
      </c>
      <c r="F128" s="60">
        <f>IF(A128="","",Catalog!J128)</f>
        <v/>
      </c>
      <c r="G128" s="76">
        <f>IF(A128="","",Catalog!L128)</f>
        <v/>
      </c>
      <c r="H128" s="76">
        <f>IF(A128="","",Catalog!K128)</f>
        <v/>
      </c>
      <c r="I128" s="60">
        <f>IF(A128="","",Catalog!F128)</f>
        <v/>
      </c>
      <c r="J128" s="60">
        <f>IF(A128="","",Catalog!G128)</f>
        <v/>
      </c>
      <c r="K128" s="60">
        <f>IF(A128="","","TRUE")</f>
        <v/>
      </c>
      <c r="L128" s="60">
        <f>IF(A128="","","shopify")</f>
        <v/>
      </c>
      <c r="M128" s="60">
        <f>IF(A128="","","deny")</f>
        <v/>
      </c>
      <c r="N128" s="60">
        <f>IF(A128="","","active")</f>
        <v/>
      </c>
      <c r="O128" s="60">
        <f>IF(A128="","",VLOOKUP(E128,Inventory_Live!$A$2:$M$201,4,FALSE))</f>
        <v/>
      </c>
      <c r="P128" s="60">
        <f>IF(A128="","",VLOOKUP(E128,Inventory_Live!$A$2:$M$201,5,FALSE))</f>
        <v/>
      </c>
      <c r="Q128" s="60">
        <f>IF(A128="","",VLOOKUP(E128,Inventory_Live!$A$2:$M$201,6,FALSE))</f>
        <v/>
      </c>
    </row>
    <row r="129">
      <c r="A129" s="60">
        <f>IF(Catalog!N129&lt;&gt;"Yes","",Catalog!B129)</f>
        <v/>
      </c>
      <c r="B129" s="60">
        <f>IF(A129="","",Catalog!C129)</f>
        <v/>
      </c>
      <c r="C129" s="60">
        <f>IF(A129="","",Catalog!H129)</f>
        <v/>
      </c>
      <c r="D129" s="60">
        <f>IF(A129="","",Catalog!I129)</f>
        <v/>
      </c>
      <c r="E129" s="60">
        <f>IF(A129="","",Catalog!A129)</f>
        <v/>
      </c>
      <c r="F129" s="60">
        <f>IF(A129="","",Catalog!J129)</f>
        <v/>
      </c>
      <c r="G129" s="76">
        <f>IF(A129="","",Catalog!L129)</f>
        <v/>
      </c>
      <c r="H129" s="76">
        <f>IF(A129="","",Catalog!K129)</f>
        <v/>
      </c>
      <c r="I129" s="60">
        <f>IF(A129="","",Catalog!F129)</f>
        <v/>
      </c>
      <c r="J129" s="60">
        <f>IF(A129="","",Catalog!G129)</f>
        <v/>
      </c>
      <c r="K129" s="60">
        <f>IF(A129="","","TRUE")</f>
        <v/>
      </c>
      <c r="L129" s="60">
        <f>IF(A129="","","shopify")</f>
        <v/>
      </c>
      <c r="M129" s="60">
        <f>IF(A129="","","deny")</f>
        <v/>
      </c>
      <c r="N129" s="60">
        <f>IF(A129="","","active")</f>
        <v/>
      </c>
      <c r="O129" s="60">
        <f>IF(A129="","",VLOOKUP(E129,Inventory_Live!$A$2:$M$201,4,FALSE))</f>
        <v/>
      </c>
      <c r="P129" s="60">
        <f>IF(A129="","",VLOOKUP(E129,Inventory_Live!$A$2:$M$201,5,FALSE))</f>
        <v/>
      </c>
      <c r="Q129" s="60">
        <f>IF(A129="","",VLOOKUP(E129,Inventory_Live!$A$2:$M$201,6,FALSE))</f>
        <v/>
      </c>
    </row>
    <row r="130">
      <c r="A130" s="60">
        <f>IF(Catalog!N130&lt;&gt;"Yes","",Catalog!B130)</f>
        <v/>
      </c>
      <c r="B130" s="60">
        <f>IF(A130="","",Catalog!C130)</f>
        <v/>
      </c>
      <c r="C130" s="60">
        <f>IF(A130="","",Catalog!H130)</f>
        <v/>
      </c>
      <c r="D130" s="60">
        <f>IF(A130="","",Catalog!I130)</f>
        <v/>
      </c>
      <c r="E130" s="60">
        <f>IF(A130="","",Catalog!A130)</f>
        <v/>
      </c>
      <c r="F130" s="60">
        <f>IF(A130="","",Catalog!J130)</f>
        <v/>
      </c>
      <c r="G130" s="76">
        <f>IF(A130="","",Catalog!L130)</f>
        <v/>
      </c>
      <c r="H130" s="76">
        <f>IF(A130="","",Catalog!K130)</f>
        <v/>
      </c>
      <c r="I130" s="60">
        <f>IF(A130="","",Catalog!F130)</f>
        <v/>
      </c>
      <c r="J130" s="60">
        <f>IF(A130="","",Catalog!G130)</f>
        <v/>
      </c>
      <c r="K130" s="60">
        <f>IF(A130="","","TRUE")</f>
        <v/>
      </c>
      <c r="L130" s="60">
        <f>IF(A130="","","shopify")</f>
        <v/>
      </c>
      <c r="M130" s="60">
        <f>IF(A130="","","deny")</f>
        <v/>
      </c>
      <c r="N130" s="60">
        <f>IF(A130="","","active")</f>
        <v/>
      </c>
      <c r="O130" s="60">
        <f>IF(A130="","",VLOOKUP(E130,Inventory_Live!$A$2:$M$201,4,FALSE))</f>
        <v/>
      </c>
      <c r="P130" s="60">
        <f>IF(A130="","",VLOOKUP(E130,Inventory_Live!$A$2:$M$201,5,FALSE))</f>
        <v/>
      </c>
      <c r="Q130" s="60">
        <f>IF(A130="","",VLOOKUP(E130,Inventory_Live!$A$2:$M$201,6,FALSE))</f>
        <v/>
      </c>
    </row>
    <row r="131">
      <c r="A131" s="60">
        <f>IF(Catalog!N131&lt;&gt;"Yes","",Catalog!B131)</f>
        <v/>
      </c>
      <c r="B131" s="60">
        <f>IF(A131="","",Catalog!C131)</f>
        <v/>
      </c>
      <c r="C131" s="60">
        <f>IF(A131="","",Catalog!H131)</f>
        <v/>
      </c>
      <c r="D131" s="60">
        <f>IF(A131="","",Catalog!I131)</f>
        <v/>
      </c>
      <c r="E131" s="60">
        <f>IF(A131="","",Catalog!A131)</f>
        <v/>
      </c>
      <c r="F131" s="60">
        <f>IF(A131="","",Catalog!J131)</f>
        <v/>
      </c>
      <c r="G131" s="76">
        <f>IF(A131="","",Catalog!L131)</f>
        <v/>
      </c>
      <c r="H131" s="76">
        <f>IF(A131="","",Catalog!K131)</f>
        <v/>
      </c>
      <c r="I131" s="60">
        <f>IF(A131="","",Catalog!F131)</f>
        <v/>
      </c>
      <c r="J131" s="60">
        <f>IF(A131="","",Catalog!G131)</f>
        <v/>
      </c>
      <c r="K131" s="60">
        <f>IF(A131="","","TRUE")</f>
        <v/>
      </c>
      <c r="L131" s="60">
        <f>IF(A131="","","shopify")</f>
        <v/>
      </c>
      <c r="M131" s="60">
        <f>IF(A131="","","deny")</f>
        <v/>
      </c>
      <c r="N131" s="60">
        <f>IF(A131="","","active")</f>
        <v/>
      </c>
      <c r="O131" s="60">
        <f>IF(A131="","",VLOOKUP(E131,Inventory_Live!$A$2:$M$201,4,FALSE))</f>
        <v/>
      </c>
      <c r="P131" s="60">
        <f>IF(A131="","",VLOOKUP(E131,Inventory_Live!$A$2:$M$201,5,FALSE))</f>
        <v/>
      </c>
      <c r="Q131" s="60">
        <f>IF(A131="","",VLOOKUP(E131,Inventory_Live!$A$2:$M$201,6,FALSE))</f>
        <v/>
      </c>
    </row>
    <row r="132">
      <c r="A132" s="60">
        <f>IF(Catalog!N132&lt;&gt;"Yes","",Catalog!B132)</f>
        <v/>
      </c>
      <c r="B132" s="60">
        <f>IF(A132="","",Catalog!C132)</f>
        <v/>
      </c>
      <c r="C132" s="60">
        <f>IF(A132="","",Catalog!H132)</f>
        <v/>
      </c>
      <c r="D132" s="60">
        <f>IF(A132="","",Catalog!I132)</f>
        <v/>
      </c>
      <c r="E132" s="60">
        <f>IF(A132="","",Catalog!A132)</f>
        <v/>
      </c>
      <c r="F132" s="60">
        <f>IF(A132="","",Catalog!J132)</f>
        <v/>
      </c>
      <c r="G132" s="76">
        <f>IF(A132="","",Catalog!L132)</f>
        <v/>
      </c>
      <c r="H132" s="76">
        <f>IF(A132="","",Catalog!K132)</f>
        <v/>
      </c>
      <c r="I132" s="60">
        <f>IF(A132="","",Catalog!F132)</f>
        <v/>
      </c>
      <c r="J132" s="60">
        <f>IF(A132="","",Catalog!G132)</f>
        <v/>
      </c>
      <c r="K132" s="60">
        <f>IF(A132="","","TRUE")</f>
        <v/>
      </c>
      <c r="L132" s="60">
        <f>IF(A132="","","shopify")</f>
        <v/>
      </c>
      <c r="M132" s="60">
        <f>IF(A132="","","deny")</f>
        <v/>
      </c>
      <c r="N132" s="60">
        <f>IF(A132="","","active")</f>
        <v/>
      </c>
      <c r="O132" s="60">
        <f>IF(A132="","",VLOOKUP(E132,Inventory_Live!$A$2:$M$201,4,FALSE))</f>
        <v/>
      </c>
      <c r="P132" s="60">
        <f>IF(A132="","",VLOOKUP(E132,Inventory_Live!$A$2:$M$201,5,FALSE))</f>
        <v/>
      </c>
      <c r="Q132" s="60">
        <f>IF(A132="","",VLOOKUP(E132,Inventory_Live!$A$2:$M$201,6,FALSE))</f>
        <v/>
      </c>
    </row>
    <row r="133">
      <c r="A133" s="60">
        <f>IF(Catalog!N133&lt;&gt;"Yes","",Catalog!B133)</f>
        <v/>
      </c>
      <c r="B133" s="60">
        <f>IF(A133="","",Catalog!C133)</f>
        <v/>
      </c>
      <c r="C133" s="60">
        <f>IF(A133="","",Catalog!H133)</f>
        <v/>
      </c>
      <c r="D133" s="60">
        <f>IF(A133="","",Catalog!I133)</f>
        <v/>
      </c>
      <c r="E133" s="60">
        <f>IF(A133="","",Catalog!A133)</f>
        <v/>
      </c>
      <c r="F133" s="60">
        <f>IF(A133="","",Catalog!J133)</f>
        <v/>
      </c>
      <c r="G133" s="76">
        <f>IF(A133="","",Catalog!L133)</f>
        <v/>
      </c>
      <c r="H133" s="76">
        <f>IF(A133="","",Catalog!K133)</f>
        <v/>
      </c>
      <c r="I133" s="60">
        <f>IF(A133="","",Catalog!F133)</f>
        <v/>
      </c>
      <c r="J133" s="60">
        <f>IF(A133="","",Catalog!G133)</f>
        <v/>
      </c>
      <c r="K133" s="60">
        <f>IF(A133="","","TRUE")</f>
        <v/>
      </c>
      <c r="L133" s="60">
        <f>IF(A133="","","shopify")</f>
        <v/>
      </c>
      <c r="M133" s="60">
        <f>IF(A133="","","deny")</f>
        <v/>
      </c>
      <c r="N133" s="60">
        <f>IF(A133="","","active")</f>
        <v/>
      </c>
      <c r="O133" s="60">
        <f>IF(A133="","",VLOOKUP(E133,Inventory_Live!$A$2:$M$201,4,FALSE))</f>
        <v/>
      </c>
      <c r="P133" s="60">
        <f>IF(A133="","",VLOOKUP(E133,Inventory_Live!$A$2:$M$201,5,FALSE))</f>
        <v/>
      </c>
      <c r="Q133" s="60">
        <f>IF(A133="","",VLOOKUP(E133,Inventory_Live!$A$2:$M$201,6,FALSE))</f>
        <v/>
      </c>
    </row>
    <row r="134">
      <c r="A134" s="60">
        <f>IF(Catalog!N134&lt;&gt;"Yes","",Catalog!B134)</f>
        <v/>
      </c>
      <c r="B134" s="60">
        <f>IF(A134="","",Catalog!C134)</f>
        <v/>
      </c>
      <c r="C134" s="60">
        <f>IF(A134="","",Catalog!H134)</f>
        <v/>
      </c>
      <c r="D134" s="60">
        <f>IF(A134="","",Catalog!I134)</f>
        <v/>
      </c>
      <c r="E134" s="60">
        <f>IF(A134="","",Catalog!A134)</f>
        <v/>
      </c>
      <c r="F134" s="60">
        <f>IF(A134="","",Catalog!J134)</f>
        <v/>
      </c>
      <c r="G134" s="76">
        <f>IF(A134="","",Catalog!L134)</f>
        <v/>
      </c>
      <c r="H134" s="76">
        <f>IF(A134="","",Catalog!K134)</f>
        <v/>
      </c>
      <c r="I134" s="60">
        <f>IF(A134="","",Catalog!F134)</f>
        <v/>
      </c>
      <c r="J134" s="60">
        <f>IF(A134="","",Catalog!G134)</f>
        <v/>
      </c>
      <c r="K134" s="60">
        <f>IF(A134="","","TRUE")</f>
        <v/>
      </c>
      <c r="L134" s="60">
        <f>IF(A134="","","shopify")</f>
        <v/>
      </c>
      <c r="M134" s="60">
        <f>IF(A134="","","deny")</f>
        <v/>
      </c>
      <c r="N134" s="60">
        <f>IF(A134="","","active")</f>
        <v/>
      </c>
      <c r="O134" s="60">
        <f>IF(A134="","",VLOOKUP(E134,Inventory_Live!$A$2:$M$201,4,FALSE))</f>
        <v/>
      </c>
      <c r="P134" s="60">
        <f>IF(A134="","",VLOOKUP(E134,Inventory_Live!$A$2:$M$201,5,FALSE))</f>
        <v/>
      </c>
      <c r="Q134" s="60">
        <f>IF(A134="","",VLOOKUP(E134,Inventory_Live!$A$2:$M$201,6,FALSE))</f>
        <v/>
      </c>
    </row>
    <row r="135">
      <c r="A135" s="60">
        <f>IF(Catalog!N135&lt;&gt;"Yes","",Catalog!B135)</f>
        <v/>
      </c>
      <c r="B135" s="60">
        <f>IF(A135="","",Catalog!C135)</f>
        <v/>
      </c>
      <c r="C135" s="60">
        <f>IF(A135="","",Catalog!H135)</f>
        <v/>
      </c>
      <c r="D135" s="60">
        <f>IF(A135="","",Catalog!I135)</f>
        <v/>
      </c>
      <c r="E135" s="60">
        <f>IF(A135="","",Catalog!A135)</f>
        <v/>
      </c>
      <c r="F135" s="60">
        <f>IF(A135="","",Catalog!J135)</f>
        <v/>
      </c>
      <c r="G135" s="76">
        <f>IF(A135="","",Catalog!L135)</f>
        <v/>
      </c>
      <c r="H135" s="76">
        <f>IF(A135="","",Catalog!K135)</f>
        <v/>
      </c>
      <c r="I135" s="60">
        <f>IF(A135="","",Catalog!F135)</f>
        <v/>
      </c>
      <c r="J135" s="60">
        <f>IF(A135="","",Catalog!G135)</f>
        <v/>
      </c>
      <c r="K135" s="60">
        <f>IF(A135="","","TRUE")</f>
        <v/>
      </c>
      <c r="L135" s="60">
        <f>IF(A135="","","shopify")</f>
        <v/>
      </c>
      <c r="M135" s="60">
        <f>IF(A135="","","deny")</f>
        <v/>
      </c>
      <c r="N135" s="60">
        <f>IF(A135="","","active")</f>
        <v/>
      </c>
      <c r="O135" s="60">
        <f>IF(A135="","",VLOOKUP(E135,Inventory_Live!$A$2:$M$201,4,FALSE))</f>
        <v/>
      </c>
      <c r="P135" s="60">
        <f>IF(A135="","",VLOOKUP(E135,Inventory_Live!$A$2:$M$201,5,FALSE))</f>
        <v/>
      </c>
      <c r="Q135" s="60">
        <f>IF(A135="","",VLOOKUP(E135,Inventory_Live!$A$2:$M$201,6,FALSE))</f>
        <v/>
      </c>
    </row>
    <row r="136">
      <c r="A136" s="60">
        <f>IF(Catalog!N136&lt;&gt;"Yes","",Catalog!B136)</f>
        <v/>
      </c>
      <c r="B136" s="60">
        <f>IF(A136="","",Catalog!C136)</f>
        <v/>
      </c>
      <c r="C136" s="60">
        <f>IF(A136="","",Catalog!H136)</f>
        <v/>
      </c>
      <c r="D136" s="60">
        <f>IF(A136="","",Catalog!I136)</f>
        <v/>
      </c>
      <c r="E136" s="60">
        <f>IF(A136="","",Catalog!A136)</f>
        <v/>
      </c>
      <c r="F136" s="60">
        <f>IF(A136="","",Catalog!J136)</f>
        <v/>
      </c>
      <c r="G136" s="76">
        <f>IF(A136="","",Catalog!L136)</f>
        <v/>
      </c>
      <c r="H136" s="76">
        <f>IF(A136="","",Catalog!K136)</f>
        <v/>
      </c>
      <c r="I136" s="60">
        <f>IF(A136="","",Catalog!F136)</f>
        <v/>
      </c>
      <c r="J136" s="60">
        <f>IF(A136="","",Catalog!G136)</f>
        <v/>
      </c>
      <c r="K136" s="60">
        <f>IF(A136="","","TRUE")</f>
        <v/>
      </c>
      <c r="L136" s="60">
        <f>IF(A136="","","shopify")</f>
        <v/>
      </c>
      <c r="M136" s="60">
        <f>IF(A136="","","deny")</f>
        <v/>
      </c>
      <c r="N136" s="60">
        <f>IF(A136="","","active")</f>
        <v/>
      </c>
      <c r="O136" s="60">
        <f>IF(A136="","",VLOOKUP(E136,Inventory_Live!$A$2:$M$201,4,FALSE))</f>
        <v/>
      </c>
      <c r="P136" s="60">
        <f>IF(A136="","",VLOOKUP(E136,Inventory_Live!$A$2:$M$201,5,FALSE))</f>
        <v/>
      </c>
      <c r="Q136" s="60">
        <f>IF(A136="","",VLOOKUP(E136,Inventory_Live!$A$2:$M$201,6,FALSE))</f>
        <v/>
      </c>
    </row>
    <row r="137">
      <c r="A137" s="60">
        <f>IF(Catalog!N137&lt;&gt;"Yes","",Catalog!B137)</f>
        <v/>
      </c>
      <c r="B137" s="60">
        <f>IF(A137="","",Catalog!C137)</f>
        <v/>
      </c>
      <c r="C137" s="60">
        <f>IF(A137="","",Catalog!H137)</f>
        <v/>
      </c>
      <c r="D137" s="60">
        <f>IF(A137="","",Catalog!I137)</f>
        <v/>
      </c>
      <c r="E137" s="60">
        <f>IF(A137="","",Catalog!A137)</f>
        <v/>
      </c>
      <c r="F137" s="60">
        <f>IF(A137="","",Catalog!J137)</f>
        <v/>
      </c>
      <c r="G137" s="76">
        <f>IF(A137="","",Catalog!L137)</f>
        <v/>
      </c>
      <c r="H137" s="76">
        <f>IF(A137="","",Catalog!K137)</f>
        <v/>
      </c>
      <c r="I137" s="60">
        <f>IF(A137="","",Catalog!F137)</f>
        <v/>
      </c>
      <c r="J137" s="60">
        <f>IF(A137="","",Catalog!G137)</f>
        <v/>
      </c>
      <c r="K137" s="60">
        <f>IF(A137="","","TRUE")</f>
        <v/>
      </c>
      <c r="L137" s="60">
        <f>IF(A137="","","shopify")</f>
        <v/>
      </c>
      <c r="M137" s="60">
        <f>IF(A137="","","deny")</f>
        <v/>
      </c>
      <c r="N137" s="60">
        <f>IF(A137="","","active")</f>
        <v/>
      </c>
      <c r="O137" s="60">
        <f>IF(A137="","",VLOOKUP(E137,Inventory_Live!$A$2:$M$201,4,FALSE))</f>
        <v/>
      </c>
      <c r="P137" s="60">
        <f>IF(A137="","",VLOOKUP(E137,Inventory_Live!$A$2:$M$201,5,FALSE))</f>
        <v/>
      </c>
      <c r="Q137" s="60">
        <f>IF(A137="","",VLOOKUP(E137,Inventory_Live!$A$2:$M$201,6,FALSE))</f>
        <v/>
      </c>
    </row>
    <row r="138">
      <c r="A138" s="60">
        <f>IF(Catalog!N138&lt;&gt;"Yes","",Catalog!B138)</f>
        <v/>
      </c>
      <c r="B138" s="60">
        <f>IF(A138="","",Catalog!C138)</f>
        <v/>
      </c>
      <c r="C138" s="60">
        <f>IF(A138="","",Catalog!H138)</f>
        <v/>
      </c>
      <c r="D138" s="60">
        <f>IF(A138="","",Catalog!I138)</f>
        <v/>
      </c>
      <c r="E138" s="60">
        <f>IF(A138="","",Catalog!A138)</f>
        <v/>
      </c>
      <c r="F138" s="60">
        <f>IF(A138="","",Catalog!J138)</f>
        <v/>
      </c>
      <c r="G138" s="76">
        <f>IF(A138="","",Catalog!L138)</f>
        <v/>
      </c>
      <c r="H138" s="76">
        <f>IF(A138="","",Catalog!K138)</f>
        <v/>
      </c>
      <c r="I138" s="60">
        <f>IF(A138="","",Catalog!F138)</f>
        <v/>
      </c>
      <c r="J138" s="60">
        <f>IF(A138="","",Catalog!G138)</f>
        <v/>
      </c>
      <c r="K138" s="60">
        <f>IF(A138="","","TRUE")</f>
        <v/>
      </c>
      <c r="L138" s="60">
        <f>IF(A138="","","shopify")</f>
        <v/>
      </c>
      <c r="M138" s="60">
        <f>IF(A138="","","deny")</f>
        <v/>
      </c>
      <c r="N138" s="60">
        <f>IF(A138="","","active")</f>
        <v/>
      </c>
      <c r="O138" s="60">
        <f>IF(A138="","",VLOOKUP(E138,Inventory_Live!$A$2:$M$201,4,FALSE))</f>
        <v/>
      </c>
      <c r="P138" s="60">
        <f>IF(A138="","",VLOOKUP(E138,Inventory_Live!$A$2:$M$201,5,FALSE))</f>
        <v/>
      </c>
      <c r="Q138" s="60">
        <f>IF(A138="","",VLOOKUP(E138,Inventory_Live!$A$2:$M$201,6,FALSE))</f>
        <v/>
      </c>
    </row>
    <row r="139">
      <c r="A139" s="60">
        <f>IF(Catalog!N139&lt;&gt;"Yes","",Catalog!B139)</f>
        <v/>
      </c>
      <c r="B139" s="60">
        <f>IF(A139="","",Catalog!C139)</f>
        <v/>
      </c>
      <c r="C139" s="60">
        <f>IF(A139="","",Catalog!H139)</f>
        <v/>
      </c>
      <c r="D139" s="60">
        <f>IF(A139="","",Catalog!I139)</f>
        <v/>
      </c>
      <c r="E139" s="60">
        <f>IF(A139="","",Catalog!A139)</f>
        <v/>
      </c>
      <c r="F139" s="60">
        <f>IF(A139="","",Catalog!J139)</f>
        <v/>
      </c>
      <c r="G139" s="76">
        <f>IF(A139="","",Catalog!L139)</f>
        <v/>
      </c>
      <c r="H139" s="76">
        <f>IF(A139="","",Catalog!K139)</f>
        <v/>
      </c>
      <c r="I139" s="60">
        <f>IF(A139="","",Catalog!F139)</f>
        <v/>
      </c>
      <c r="J139" s="60">
        <f>IF(A139="","",Catalog!G139)</f>
        <v/>
      </c>
      <c r="K139" s="60">
        <f>IF(A139="","","TRUE")</f>
        <v/>
      </c>
      <c r="L139" s="60">
        <f>IF(A139="","","shopify")</f>
        <v/>
      </c>
      <c r="M139" s="60">
        <f>IF(A139="","","deny")</f>
        <v/>
      </c>
      <c r="N139" s="60">
        <f>IF(A139="","","active")</f>
        <v/>
      </c>
      <c r="O139" s="60">
        <f>IF(A139="","",VLOOKUP(E139,Inventory_Live!$A$2:$M$201,4,FALSE))</f>
        <v/>
      </c>
      <c r="P139" s="60">
        <f>IF(A139="","",VLOOKUP(E139,Inventory_Live!$A$2:$M$201,5,FALSE))</f>
        <v/>
      </c>
      <c r="Q139" s="60">
        <f>IF(A139="","",VLOOKUP(E139,Inventory_Live!$A$2:$M$201,6,FALSE))</f>
        <v/>
      </c>
    </row>
    <row r="140">
      <c r="A140" s="60">
        <f>IF(Catalog!N140&lt;&gt;"Yes","",Catalog!B140)</f>
        <v/>
      </c>
      <c r="B140" s="60">
        <f>IF(A140="","",Catalog!C140)</f>
        <v/>
      </c>
      <c r="C140" s="60">
        <f>IF(A140="","",Catalog!H140)</f>
        <v/>
      </c>
      <c r="D140" s="60">
        <f>IF(A140="","",Catalog!I140)</f>
        <v/>
      </c>
      <c r="E140" s="60">
        <f>IF(A140="","",Catalog!A140)</f>
        <v/>
      </c>
      <c r="F140" s="60">
        <f>IF(A140="","",Catalog!J140)</f>
        <v/>
      </c>
      <c r="G140" s="76">
        <f>IF(A140="","",Catalog!L140)</f>
        <v/>
      </c>
      <c r="H140" s="76">
        <f>IF(A140="","",Catalog!K140)</f>
        <v/>
      </c>
      <c r="I140" s="60">
        <f>IF(A140="","",Catalog!F140)</f>
        <v/>
      </c>
      <c r="J140" s="60">
        <f>IF(A140="","",Catalog!G140)</f>
        <v/>
      </c>
      <c r="K140" s="60">
        <f>IF(A140="","","TRUE")</f>
        <v/>
      </c>
      <c r="L140" s="60">
        <f>IF(A140="","","shopify")</f>
        <v/>
      </c>
      <c r="M140" s="60">
        <f>IF(A140="","","deny")</f>
        <v/>
      </c>
      <c r="N140" s="60">
        <f>IF(A140="","","active")</f>
        <v/>
      </c>
      <c r="O140" s="60">
        <f>IF(A140="","",VLOOKUP(E140,Inventory_Live!$A$2:$M$201,4,FALSE))</f>
        <v/>
      </c>
      <c r="P140" s="60">
        <f>IF(A140="","",VLOOKUP(E140,Inventory_Live!$A$2:$M$201,5,FALSE))</f>
        <v/>
      </c>
      <c r="Q140" s="60">
        <f>IF(A140="","",VLOOKUP(E140,Inventory_Live!$A$2:$M$201,6,FALSE))</f>
        <v/>
      </c>
    </row>
    <row r="141">
      <c r="A141" s="60">
        <f>IF(Catalog!N141&lt;&gt;"Yes","",Catalog!B141)</f>
        <v/>
      </c>
      <c r="B141" s="60">
        <f>IF(A141="","",Catalog!C141)</f>
        <v/>
      </c>
      <c r="C141" s="60">
        <f>IF(A141="","",Catalog!H141)</f>
        <v/>
      </c>
      <c r="D141" s="60">
        <f>IF(A141="","",Catalog!I141)</f>
        <v/>
      </c>
      <c r="E141" s="60">
        <f>IF(A141="","",Catalog!A141)</f>
        <v/>
      </c>
      <c r="F141" s="60">
        <f>IF(A141="","",Catalog!J141)</f>
        <v/>
      </c>
      <c r="G141" s="76">
        <f>IF(A141="","",Catalog!L141)</f>
        <v/>
      </c>
      <c r="H141" s="76">
        <f>IF(A141="","",Catalog!K141)</f>
        <v/>
      </c>
      <c r="I141" s="60">
        <f>IF(A141="","",Catalog!F141)</f>
        <v/>
      </c>
      <c r="J141" s="60">
        <f>IF(A141="","",Catalog!G141)</f>
        <v/>
      </c>
      <c r="K141" s="60">
        <f>IF(A141="","","TRUE")</f>
        <v/>
      </c>
      <c r="L141" s="60">
        <f>IF(A141="","","shopify")</f>
        <v/>
      </c>
      <c r="M141" s="60">
        <f>IF(A141="","","deny")</f>
        <v/>
      </c>
      <c r="N141" s="60">
        <f>IF(A141="","","active")</f>
        <v/>
      </c>
      <c r="O141" s="60">
        <f>IF(A141="","",VLOOKUP(E141,Inventory_Live!$A$2:$M$201,4,FALSE))</f>
        <v/>
      </c>
      <c r="P141" s="60">
        <f>IF(A141="","",VLOOKUP(E141,Inventory_Live!$A$2:$M$201,5,FALSE))</f>
        <v/>
      </c>
      <c r="Q141" s="60">
        <f>IF(A141="","",VLOOKUP(E141,Inventory_Live!$A$2:$M$201,6,FALSE))</f>
        <v/>
      </c>
    </row>
    <row r="142">
      <c r="A142" s="60">
        <f>IF(Catalog!N142&lt;&gt;"Yes","",Catalog!B142)</f>
        <v/>
      </c>
      <c r="B142" s="60">
        <f>IF(A142="","",Catalog!C142)</f>
        <v/>
      </c>
      <c r="C142" s="60">
        <f>IF(A142="","",Catalog!H142)</f>
        <v/>
      </c>
      <c r="D142" s="60">
        <f>IF(A142="","",Catalog!I142)</f>
        <v/>
      </c>
      <c r="E142" s="60">
        <f>IF(A142="","",Catalog!A142)</f>
        <v/>
      </c>
      <c r="F142" s="60">
        <f>IF(A142="","",Catalog!J142)</f>
        <v/>
      </c>
      <c r="G142" s="76">
        <f>IF(A142="","",Catalog!L142)</f>
        <v/>
      </c>
      <c r="H142" s="76">
        <f>IF(A142="","",Catalog!K142)</f>
        <v/>
      </c>
      <c r="I142" s="60">
        <f>IF(A142="","",Catalog!F142)</f>
        <v/>
      </c>
      <c r="J142" s="60">
        <f>IF(A142="","",Catalog!G142)</f>
        <v/>
      </c>
      <c r="K142" s="60">
        <f>IF(A142="","","TRUE")</f>
        <v/>
      </c>
      <c r="L142" s="60">
        <f>IF(A142="","","shopify")</f>
        <v/>
      </c>
      <c r="M142" s="60">
        <f>IF(A142="","","deny")</f>
        <v/>
      </c>
      <c r="N142" s="60">
        <f>IF(A142="","","active")</f>
        <v/>
      </c>
      <c r="O142" s="60">
        <f>IF(A142="","",VLOOKUP(E142,Inventory_Live!$A$2:$M$201,4,FALSE))</f>
        <v/>
      </c>
      <c r="P142" s="60">
        <f>IF(A142="","",VLOOKUP(E142,Inventory_Live!$A$2:$M$201,5,FALSE))</f>
        <v/>
      </c>
      <c r="Q142" s="60">
        <f>IF(A142="","",VLOOKUP(E142,Inventory_Live!$A$2:$M$201,6,FALSE))</f>
        <v/>
      </c>
    </row>
    <row r="143">
      <c r="A143" s="60">
        <f>IF(Catalog!N143&lt;&gt;"Yes","",Catalog!B143)</f>
        <v/>
      </c>
      <c r="B143" s="60">
        <f>IF(A143="","",Catalog!C143)</f>
        <v/>
      </c>
      <c r="C143" s="60">
        <f>IF(A143="","",Catalog!H143)</f>
        <v/>
      </c>
      <c r="D143" s="60">
        <f>IF(A143="","",Catalog!I143)</f>
        <v/>
      </c>
      <c r="E143" s="60">
        <f>IF(A143="","",Catalog!A143)</f>
        <v/>
      </c>
      <c r="F143" s="60">
        <f>IF(A143="","",Catalog!J143)</f>
        <v/>
      </c>
      <c r="G143" s="76">
        <f>IF(A143="","",Catalog!L143)</f>
        <v/>
      </c>
      <c r="H143" s="76">
        <f>IF(A143="","",Catalog!K143)</f>
        <v/>
      </c>
      <c r="I143" s="60">
        <f>IF(A143="","",Catalog!F143)</f>
        <v/>
      </c>
      <c r="J143" s="60">
        <f>IF(A143="","",Catalog!G143)</f>
        <v/>
      </c>
      <c r="K143" s="60">
        <f>IF(A143="","","TRUE")</f>
        <v/>
      </c>
      <c r="L143" s="60">
        <f>IF(A143="","","shopify")</f>
        <v/>
      </c>
      <c r="M143" s="60">
        <f>IF(A143="","","deny")</f>
        <v/>
      </c>
      <c r="N143" s="60">
        <f>IF(A143="","","active")</f>
        <v/>
      </c>
      <c r="O143" s="60">
        <f>IF(A143="","",VLOOKUP(E143,Inventory_Live!$A$2:$M$201,4,FALSE))</f>
        <v/>
      </c>
      <c r="P143" s="60">
        <f>IF(A143="","",VLOOKUP(E143,Inventory_Live!$A$2:$M$201,5,FALSE))</f>
        <v/>
      </c>
      <c r="Q143" s="60">
        <f>IF(A143="","",VLOOKUP(E143,Inventory_Live!$A$2:$M$201,6,FALSE))</f>
        <v/>
      </c>
    </row>
    <row r="144">
      <c r="A144" s="60">
        <f>IF(Catalog!N144&lt;&gt;"Yes","",Catalog!B144)</f>
        <v/>
      </c>
      <c r="B144" s="60">
        <f>IF(A144="","",Catalog!C144)</f>
        <v/>
      </c>
      <c r="C144" s="60">
        <f>IF(A144="","",Catalog!H144)</f>
        <v/>
      </c>
      <c r="D144" s="60">
        <f>IF(A144="","",Catalog!I144)</f>
        <v/>
      </c>
      <c r="E144" s="60">
        <f>IF(A144="","",Catalog!A144)</f>
        <v/>
      </c>
      <c r="F144" s="60">
        <f>IF(A144="","",Catalog!J144)</f>
        <v/>
      </c>
      <c r="G144" s="76">
        <f>IF(A144="","",Catalog!L144)</f>
        <v/>
      </c>
      <c r="H144" s="76">
        <f>IF(A144="","",Catalog!K144)</f>
        <v/>
      </c>
      <c r="I144" s="60">
        <f>IF(A144="","",Catalog!F144)</f>
        <v/>
      </c>
      <c r="J144" s="60">
        <f>IF(A144="","",Catalog!G144)</f>
        <v/>
      </c>
      <c r="K144" s="60">
        <f>IF(A144="","","TRUE")</f>
        <v/>
      </c>
      <c r="L144" s="60">
        <f>IF(A144="","","shopify")</f>
        <v/>
      </c>
      <c r="M144" s="60">
        <f>IF(A144="","","deny")</f>
        <v/>
      </c>
      <c r="N144" s="60">
        <f>IF(A144="","","active")</f>
        <v/>
      </c>
      <c r="O144" s="60">
        <f>IF(A144="","",VLOOKUP(E144,Inventory_Live!$A$2:$M$201,4,FALSE))</f>
        <v/>
      </c>
      <c r="P144" s="60">
        <f>IF(A144="","",VLOOKUP(E144,Inventory_Live!$A$2:$M$201,5,FALSE))</f>
        <v/>
      </c>
      <c r="Q144" s="60">
        <f>IF(A144="","",VLOOKUP(E144,Inventory_Live!$A$2:$M$201,6,FALSE))</f>
        <v/>
      </c>
    </row>
    <row r="145">
      <c r="A145" s="60">
        <f>IF(Catalog!N145&lt;&gt;"Yes","",Catalog!B145)</f>
        <v/>
      </c>
      <c r="B145" s="60">
        <f>IF(A145="","",Catalog!C145)</f>
        <v/>
      </c>
      <c r="C145" s="60">
        <f>IF(A145="","",Catalog!H145)</f>
        <v/>
      </c>
      <c r="D145" s="60">
        <f>IF(A145="","",Catalog!I145)</f>
        <v/>
      </c>
      <c r="E145" s="60">
        <f>IF(A145="","",Catalog!A145)</f>
        <v/>
      </c>
      <c r="F145" s="60">
        <f>IF(A145="","",Catalog!J145)</f>
        <v/>
      </c>
      <c r="G145" s="76">
        <f>IF(A145="","",Catalog!L145)</f>
        <v/>
      </c>
      <c r="H145" s="76">
        <f>IF(A145="","",Catalog!K145)</f>
        <v/>
      </c>
      <c r="I145" s="60">
        <f>IF(A145="","",Catalog!F145)</f>
        <v/>
      </c>
      <c r="J145" s="60">
        <f>IF(A145="","",Catalog!G145)</f>
        <v/>
      </c>
      <c r="K145" s="60">
        <f>IF(A145="","","TRUE")</f>
        <v/>
      </c>
      <c r="L145" s="60">
        <f>IF(A145="","","shopify")</f>
        <v/>
      </c>
      <c r="M145" s="60">
        <f>IF(A145="","","deny")</f>
        <v/>
      </c>
      <c r="N145" s="60">
        <f>IF(A145="","","active")</f>
        <v/>
      </c>
      <c r="O145" s="60">
        <f>IF(A145="","",VLOOKUP(E145,Inventory_Live!$A$2:$M$201,4,FALSE))</f>
        <v/>
      </c>
      <c r="P145" s="60">
        <f>IF(A145="","",VLOOKUP(E145,Inventory_Live!$A$2:$M$201,5,FALSE))</f>
        <v/>
      </c>
      <c r="Q145" s="60">
        <f>IF(A145="","",VLOOKUP(E145,Inventory_Live!$A$2:$M$201,6,FALSE))</f>
        <v/>
      </c>
    </row>
    <row r="146">
      <c r="A146" s="60">
        <f>IF(Catalog!N146&lt;&gt;"Yes","",Catalog!B146)</f>
        <v/>
      </c>
      <c r="B146" s="60">
        <f>IF(A146="","",Catalog!C146)</f>
        <v/>
      </c>
      <c r="C146" s="60">
        <f>IF(A146="","",Catalog!H146)</f>
        <v/>
      </c>
      <c r="D146" s="60">
        <f>IF(A146="","",Catalog!I146)</f>
        <v/>
      </c>
      <c r="E146" s="60">
        <f>IF(A146="","",Catalog!A146)</f>
        <v/>
      </c>
      <c r="F146" s="60">
        <f>IF(A146="","",Catalog!J146)</f>
        <v/>
      </c>
      <c r="G146" s="76">
        <f>IF(A146="","",Catalog!L146)</f>
        <v/>
      </c>
      <c r="H146" s="76">
        <f>IF(A146="","",Catalog!K146)</f>
        <v/>
      </c>
      <c r="I146" s="60">
        <f>IF(A146="","",Catalog!F146)</f>
        <v/>
      </c>
      <c r="J146" s="60">
        <f>IF(A146="","",Catalog!G146)</f>
        <v/>
      </c>
      <c r="K146" s="60">
        <f>IF(A146="","","TRUE")</f>
        <v/>
      </c>
      <c r="L146" s="60">
        <f>IF(A146="","","shopify")</f>
        <v/>
      </c>
      <c r="M146" s="60">
        <f>IF(A146="","","deny")</f>
        <v/>
      </c>
      <c r="N146" s="60">
        <f>IF(A146="","","active")</f>
        <v/>
      </c>
      <c r="O146" s="60">
        <f>IF(A146="","",VLOOKUP(E146,Inventory_Live!$A$2:$M$201,4,FALSE))</f>
        <v/>
      </c>
      <c r="P146" s="60">
        <f>IF(A146="","",VLOOKUP(E146,Inventory_Live!$A$2:$M$201,5,FALSE))</f>
        <v/>
      </c>
      <c r="Q146" s="60">
        <f>IF(A146="","",VLOOKUP(E146,Inventory_Live!$A$2:$M$201,6,FALSE))</f>
        <v/>
      </c>
    </row>
    <row r="147">
      <c r="A147" s="60">
        <f>IF(Catalog!N147&lt;&gt;"Yes","",Catalog!B147)</f>
        <v/>
      </c>
      <c r="B147" s="60">
        <f>IF(A147="","",Catalog!C147)</f>
        <v/>
      </c>
      <c r="C147" s="60">
        <f>IF(A147="","",Catalog!H147)</f>
        <v/>
      </c>
      <c r="D147" s="60">
        <f>IF(A147="","",Catalog!I147)</f>
        <v/>
      </c>
      <c r="E147" s="60">
        <f>IF(A147="","",Catalog!A147)</f>
        <v/>
      </c>
      <c r="F147" s="60">
        <f>IF(A147="","",Catalog!J147)</f>
        <v/>
      </c>
      <c r="G147" s="76">
        <f>IF(A147="","",Catalog!L147)</f>
        <v/>
      </c>
      <c r="H147" s="76">
        <f>IF(A147="","",Catalog!K147)</f>
        <v/>
      </c>
      <c r="I147" s="60">
        <f>IF(A147="","",Catalog!F147)</f>
        <v/>
      </c>
      <c r="J147" s="60">
        <f>IF(A147="","",Catalog!G147)</f>
        <v/>
      </c>
      <c r="K147" s="60">
        <f>IF(A147="","","TRUE")</f>
        <v/>
      </c>
      <c r="L147" s="60">
        <f>IF(A147="","","shopify")</f>
        <v/>
      </c>
      <c r="M147" s="60">
        <f>IF(A147="","","deny")</f>
        <v/>
      </c>
      <c r="N147" s="60">
        <f>IF(A147="","","active")</f>
        <v/>
      </c>
      <c r="O147" s="60">
        <f>IF(A147="","",VLOOKUP(E147,Inventory_Live!$A$2:$M$201,4,FALSE))</f>
        <v/>
      </c>
      <c r="P147" s="60">
        <f>IF(A147="","",VLOOKUP(E147,Inventory_Live!$A$2:$M$201,5,FALSE))</f>
        <v/>
      </c>
      <c r="Q147" s="60">
        <f>IF(A147="","",VLOOKUP(E147,Inventory_Live!$A$2:$M$201,6,FALSE))</f>
        <v/>
      </c>
    </row>
    <row r="148">
      <c r="A148" s="60">
        <f>IF(Catalog!N148&lt;&gt;"Yes","",Catalog!B148)</f>
        <v/>
      </c>
      <c r="B148" s="60">
        <f>IF(A148="","",Catalog!C148)</f>
        <v/>
      </c>
      <c r="C148" s="60">
        <f>IF(A148="","",Catalog!H148)</f>
        <v/>
      </c>
      <c r="D148" s="60">
        <f>IF(A148="","",Catalog!I148)</f>
        <v/>
      </c>
      <c r="E148" s="60">
        <f>IF(A148="","",Catalog!A148)</f>
        <v/>
      </c>
      <c r="F148" s="60">
        <f>IF(A148="","",Catalog!J148)</f>
        <v/>
      </c>
      <c r="G148" s="76">
        <f>IF(A148="","",Catalog!L148)</f>
        <v/>
      </c>
      <c r="H148" s="76">
        <f>IF(A148="","",Catalog!K148)</f>
        <v/>
      </c>
      <c r="I148" s="60">
        <f>IF(A148="","",Catalog!F148)</f>
        <v/>
      </c>
      <c r="J148" s="60">
        <f>IF(A148="","",Catalog!G148)</f>
        <v/>
      </c>
      <c r="K148" s="60">
        <f>IF(A148="","","TRUE")</f>
        <v/>
      </c>
      <c r="L148" s="60">
        <f>IF(A148="","","shopify")</f>
        <v/>
      </c>
      <c r="M148" s="60">
        <f>IF(A148="","","deny")</f>
        <v/>
      </c>
      <c r="N148" s="60">
        <f>IF(A148="","","active")</f>
        <v/>
      </c>
      <c r="O148" s="60">
        <f>IF(A148="","",VLOOKUP(E148,Inventory_Live!$A$2:$M$201,4,FALSE))</f>
        <v/>
      </c>
      <c r="P148" s="60">
        <f>IF(A148="","",VLOOKUP(E148,Inventory_Live!$A$2:$M$201,5,FALSE))</f>
        <v/>
      </c>
      <c r="Q148" s="60">
        <f>IF(A148="","",VLOOKUP(E148,Inventory_Live!$A$2:$M$201,6,FALSE))</f>
        <v/>
      </c>
    </row>
    <row r="149">
      <c r="A149" s="60">
        <f>IF(Catalog!N149&lt;&gt;"Yes","",Catalog!B149)</f>
        <v/>
      </c>
      <c r="B149" s="60">
        <f>IF(A149="","",Catalog!C149)</f>
        <v/>
      </c>
      <c r="C149" s="60">
        <f>IF(A149="","",Catalog!H149)</f>
        <v/>
      </c>
      <c r="D149" s="60">
        <f>IF(A149="","",Catalog!I149)</f>
        <v/>
      </c>
      <c r="E149" s="60">
        <f>IF(A149="","",Catalog!A149)</f>
        <v/>
      </c>
      <c r="F149" s="60">
        <f>IF(A149="","",Catalog!J149)</f>
        <v/>
      </c>
      <c r="G149" s="76">
        <f>IF(A149="","",Catalog!L149)</f>
        <v/>
      </c>
      <c r="H149" s="76">
        <f>IF(A149="","",Catalog!K149)</f>
        <v/>
      </c>
      <c r="I149" s="60">
        <f>IF(A149="","",Catalog!F149)</f>
        <v/>
      </c>
      <c r="J149" s="60">
        <f>IF(A149="","",Catalog!G149)</f>
        <v/>
      </c>
      <c r="K149" s="60">
        <f>IF(A149="","","TRUE")</f>
        <v/>
      </c>
      <c r="L149" s="60">
        <f>IF(A149="","","shopify")</f>
        <v/>
      </c>
      <c r="M149" s="60">
        <f>IF(A149="","","deny")</f>
        <v/>
      </c>
      <c r="N149" s="60">
        <f>IF(A149="","","active")</f>
        <v/>
      </c>
      <c r="O149" s="60">
        <f>IF(A149="","",VLOOKUP(E149,Inventory_Live!$A$2:$M$201,4,FALSE))</f>
        <v/>
      </c>
      <c r="P149" s="60">
        <f>IF(A149="","",VLOOKUP(E149,Inventory_Live!$A$2:$M$201,5,FALSE))</f>
        <v/>
      </c>
      <c r="Q149" s="60">
        <f>IF(A149="","",VLOOKUP(E149,Inventory_Live!$A$2:$M$201,6,FALSE))</f>
        <v/>
      </c>
    </row>
    <row r="150">
      <c r="A150" s="60">
        <f>IF(Catalog!N150&lt;&gt;"Yes","",Catalog!B150)</f>
        <v/>
      </c>
      <c r="B150" s="60">
        <f>IF(A150="","",Catalog!C150)</f>
        <v/>
      </c>
      <c r="C150" s="60">
        <f>IF(A150="","",Catalog!H150)</f>
        <v/>
      </c>
      <c r="D150" s="60">
        <f>IF(A150="","",Catalog!I150)</f>
        <v/>
      </c>
      <c r="E150" s="60">
        <f>IF(A150="","",Catalog!A150)</f>
        <v/>
      </c>
      <c r="F150" s="60">
        <f>IF(A150="","",Catalog!J150)</f>
        <v/>
      </c>
      <c r="G150" s="76">
        <f>IF(A150="","",Catalog!L150)</f>
        <v/>
      </c>
      <c r="H150" s="76">
        <f>IF(A150="","",Catalog!K150)</f>
        <v/>
      </c>
      <c r="I150" s="60">
        <f>IF(A150="","",Catalog!F150)</f>
        <v/>
      </c>
      <c r="J150" s="60">
        <f>IF(A150="","",Catalog!G150)</f>
        <v/>
      </c>
      <c r="K150" s="60">
        <f>IF(A150="","","TRUE")</f>
        <v/>
      </c>
      <c r="L150" s="60">
        <f>IF(A150="","","shopify")</f>
        <v/>
      </c>
      <c r="M150" s="60">
        <f>IF(A150="","","deny")</f>
        <v/>
      </c>
      <c r="N150" s="60">
        <f>IF(A150="","","active")</f>
        <v/>
      </c>
      <c r="O150" s="60">
        <f>IF(A150="","",VLOOKUP(E150,Inventory_Live!$A$2:$M$201,4,FALSE))</f>
        <v/>
      </c>
      <c r="P150" s="60">
        <f>IF(A150="","",VLOOKUP(E150,Inventory_Live!$A$2:$M$201,5,FALSE))</f>
        <v/>
      </c>
      <c r="Q150" s="60">
        <f>IF(A150="","",VLOOKUP(E150,Inventory_Live!$A$2:$M$201,6,FALSE))</f>
        <v/>
      </c>
    </row>
    <row r="151">
      <c r="A151" s="60">
        <f>IF(Catalog!N151&lt;&gt;"Yes","",Catalog!B151)</f>
        <v/>
      </c>
      <c r="B151" s="60">
        <f>IF(A151="","",Catalog!C151)</f>
        <v/>
      </c>
      <c r="C151" s="60">
        <f>IF(A151="","",Catalog!H151)</f>
        <v/>
      </c>
      <c r="D151" s="60">
        <f>IF(A151="","",Catalog!I151)</f>
        <v/>
      </c>
      <c r="E151" s="60">
        <f>IF(A151="","",Catalog!A151)</f>
        <v/>
      </c>
      <c r="F151" s="60">
        <f>IF(A151="","",Catalog!J151)</f>
        <v/>
      </c>
      <c r="G151" s="76">
        <f>IF(A151="","",Catalog!L151)</f>
        <v/>
      </c>
      <c r="H151" s="76">
        <f>IF(A151="","",Catalog!K151)</f>
        <v/>
      </c>
      <c r="I151" s="60">
        <f>IF(A151="","",Catalog!F151)</f>
        <v/>
      </c>
      <c r="J151" s="60">
        <f>IF(A151="","",Catalog!G151)</f>
        <v/>
      </c>
      <c r="K151" s="60">
        <f>IF(A151="","","TRUE")</f>
        <v/>
      </c>
      <c r="L151" s="60">
        <f>IF(A151="","","shopify")</f>
        <v/>
      </c>
      <c r="M151" s="60">
        <f>IF(A151="","","deny")</f>
        <v/>
      </c>
      <c r="N151" s="60">
        <f>IF(A151="","","active")</f>
        <v/>
      </c>
      <c r="O151" s="60">
        <f>IF(A151="","",VLOOKUP(E151,Inventory_Live!$A$2:$M$201,4,FALSE))</f>
        <v/>
      </c>
      <c r="P151" s="60">
        <f>IF(A151="","",VLOOKUP(E151,Inventory_Live!$A$2:$M$201,5,FALSE))</f>
        <v/>
      </c>
      <c r="Q151" s="60">
        <f>IF(A151="","",VLOOKUP(E151,Inventory_Live!$A$2:$M$201,6,FALSE))</f>
        <v/>
      </c>
    </row>
    <row r="152">
      <c r="A152" s="60">
        <f>IF(Catalog!N152&lt;&gt;"Yes","",Catalog!B152)</f>
        <v/>
      </c>
      <c r="B152" s="60">
        <f>IF(A152="","",Catalog!C152)</f>
        <v/>
      </c>
      <c r="C152" s="60">
        <f>IF(A152="","",Catalog!H152)</f>
        <v/>
      </c>
      <c r="D152" s="60">
        <f>IF(A152="","",Catalog!I152)</f>
        <v/>
      </c>
      <c r="E152" s="60">
        <f>IF(A152="","",Catalog!A152)</f>
        <v/>
      </c>
      <c r="F152" s="60">
        <f>IF(A152="","",Catalog!J152)</f>
        <v/>
      </c>
      <c r="G152" s="76">
        <f>IF(A152="","",Catalog!L152)</f>
        <v/>
      </c>
      <c r="H152" s="76">
        <f>IF(A152="","",Catalog!K152)</f>
        <v/>
      </c>
      <c r="I152" s="60">
        <f>IF(A152="","",Catalog!F152)</f>
        <v/>
      </c>
      <c r="J152" s="60">
        <f>IF(A152="","",Catalog!G152)</f>
        <v/>
      </c>
      <c r="K152" s="60">
        <f>IF(A152="","","TRUE")</f>
        <v/>
      </c>
      <c r="L152" s="60">
        <f>IF(A152="","","shopify")</f>
        <v/>
      </c>
      <c r="M152" s="60">
        <f>IF(A152="","","deny")</f>
        <v/>
      </c>
      <c r="N152" s="60">
        <f>IF(A152="","","active")</f>
        <v/>
      </c>
      <c r="O152" s="60">
        <f>IF(A152="","",VLOOKUP(E152,Inventory_Live!$A$2:$M$201,4,FALSE))</f>
        <v/>
      </c>
      <c r="P152" s="60">
        <f>IF(A152="","",VLOOKUP(E152,Inventory_Live!$A$2:$M$201,5,FALSE))</f>
        <v/>
      </c>
      <c r="Q152" s="60">
        <f>IF(A152="","",VLOOKUP(E152,Inventory_Live!$A$2:$M$201,6,FALSE))</f>
        <v/>
      </c>
    </row>
    <row r="153">
      <c r="A153" s="60">
        <f>IF(Catalog!N153&lt;&gt;"Yes","",Catalog!B153)</f>
        <v/>
      </c>
      <c r="B153" s="60">
        <f>IF(A153="","",Catalog!C153)</f>
        <v/>
      </c>
      <c r="C153" s="60">
        <f>IF(A153="","",Catalog!H153)</f>
        <v/>
      </c>
      <c r="D153" s="60">
        <f>IF(A153="","",Catalog!I153)</f>
        <v/>
      </c>
      <c r="E153" s="60">
        <f>IF(A153="","",Catalog!A153)</f>
        <v/>
      </c>
      <c r="F153" s="60">
        <f>IF(A153="","",Catalog!J153)</f>
        <v/>
      </c>
      <c r="G153" s="76">
        <f>IF(A153="","",Catalog!L153)</f>
        <v/>
      </c>
      <c r="H153" s="76">
        <f>IF(A153="","",Catalog!K153)</f>
        <v/>
      </c>
      <c r="I153" s="60">
        <f>IF(A153="","",Catalog!F153)</f>
        <v/>
      </c>
      <c r="J153" s="60">
        <f>IF(A153="","",Catalog!G153)</f>
        <v/>
      </c>
      <c r="K153" s="60">
        <f>IF(A153="","","TRUE")</f>
        <v/>
      </c>
      <c r="L153" s="60">
        <f>IF(A153="","","shopify")</f>
        <v/>
      </c>
      <c r="M153" s="60">
        <f>IF(A153="","","deny")</f>
        <v/>
      </c>
      <c r="N153" s="60">
        <f>IF(A153="","","active")</f>
        <v/>
      </c>
      <c r="O153" s="60">
        <f>IF(A153="","",VLOOKUP(E153,Inventory_Live!$A$2:$M$201,4,FALSE))</f>
        <v/>
      </c>
      <c r="P153" s="60">
        <f>IF(A153="","",VLOOKUP(E153,Inventory_Live!$A$2:$M$201,5,FALSE))</f>
        <v/>
      </c>
      <c r="Q153" s="60">
        <f>IF(A153="","",VLOOKUP(E153,Inventory_Live!$A$2:$M$201,6,FALSE))</f>
        <v/>
      </c>
    </row>
    <row r="154">
      <c r="A154" s="60">
        <f>IF(Catalog!N154&lt;&gt;"Yes","",Catalog!B154)</f>
        <v/>
      </c>
      <c r="B154" s="60">
        <f>IF(A154="","",Catalog!C154)</f>
        <v/>
      </c>
      <c r="C154" s="60">
        <f>IF(A154="","",Catalog!H154)</f>
        <v/>
      </c>
      <c r="D154" s="60">
        <f>IF(A154="","",Catalog!I154)</f>
        <v/>
      </c>
      <c r="E154" s="60">
        <f>IF(A154="","",Catalog!A154)</f>
        <v/>
      </c>
      <c r="F154" s="60">
        <f>IF(A154="","",Catalog!J154)</f>
        <v/>
      </c>
      <c r="G154" s="76">
        <f>IF(A154="","",Catalog!L154)</f>
        <v/>
      </c>
      <c r="H154" s="76">
        <f>IF(A154="","",Catalog!K154)</f>
        <v/>
      </c>
      <c r="I154" s="60">
        <f>IF(A154="","",Catalog!F154)</f>
        <v/>
      </c>
      <c r="J154" s="60">
        <f>IF(A154="","",Catalog!G154)</f>
        <v/>
      </c>
      <c r="K154" s="60">
        <f>IF(A154="","","TRUE")</f>
        <v/>
      </c>
      <c r="L154" s="60">
        <f>IF(A154="","","shopify")</f>
        <v/>
      </c>
      <c r="M154" s="60">
        <f>IF(A154="","","deny")</f>
        <v/>
      </c>
      <c r="N154" s="60">
        <f>IF(A154="","","active")</f>
        <v/>
      </c>
      <c r="O154" s="60">
        <f>IF(A154="","",VLOOKUP(E154,Inventory_Live!$A$2:$M$201,4,FALSE))</f>
        <v/>
      </c>
      <c r="P154" s="60">
        <f>IF(A154="","",VLOOKUP(E154,Inventory_Live!$A$2:$M$201,5,FALSE))</f>
        <v/>
      </c>
      <c r="Q154" s="60">
        <f>IF(A154="","",VLOOKUP(E154,Inventory_Live!$A$2:$M$201,6,FALSE))</f>
        <v/>
      </c>
    </row>
    <row r="155">
      <c r="A155" s="60">
        <f>IF(Catalog!N155&lt;&gt;"Yes","",Catalog!B155)</f>
        <v/>
      </c>
      <c r="B155" s="60">
        <f>IF(A155="","",Catalog!C155)</f>
        <v/>
      </c>
      <c r="C155" s="60">
        <f>IF(A155="","",Catalog!H155)</f>
        <v/>
      </c>
      <c r="D155" s="60">
        <f>IF(A155="","",Catalog!I155)</f>
        <v/>
      </c>
      <c r="E155" s="60">
        <f>IF(A155="","",Catalog!A155)</f>
        <v/>
      </c>
      <c r="F155" s="60">
        <f>IF(A155="","",Catalog!J155)</f>
        <v/>
      </c>
      <c r="G155" s="76">
        <f>IF(A155="","",Catalog!L155)</f>
        <v/>
      </c>
      <c r="H155" s="76">
        <f>IF(A155="","",Catalog!K155)</f>
        <v/>
      </c>
      <c r="I155" s="60">
        <f>IF(A155="","",Catalog!F155)</f>
        <v/>
      </c>
      <c r="J155" s="60">
        <f>IF(A155="","",Catalog!G155)</f>
        <v/>
      </c>
      <c r="K155" s="60">
        <f>IF(A155="","","TRUE")</f>
        <v/>
      </c>
      <c r="L155" s="60">
        <f>IF(A155="","","shopify")</f>
        <v/>
      </c>
      <c r="M155" s="60">
        <f>IF(A155="","","deny")</f>
        <v/>
      </c>
      <c r="N155" s="60">
        <f>IF(A155="","","active")</f>
        <v/>
      </c>
      <c r="O155" s="60">
        <f>IF(A155="","",VLOOKUP(E155,Inventory_Live!$A$2:$M$201,4,FALSE))</f>
        <v/>
      </c>
      <c r="P155" s="60">
        <f>IF(A155="","",VLOOKUP(E155,Inventory_Live!$A$2:$M$201,5,FALSE))</f>
        <v/>
      </c>
      <c r="Q155" s="60">
        <f>IF(A155="","",VLOOKUP(E155,Inventory_Live!$A$2:$M$201,6,FALSE))</f>
        <v/>
      </c>
    </row>
    <row r="156">
      <c r="A156" s="60">
        <f>IF(Catalog!N156&lt;&gt;"Yes","",Catalog!B156)</f>
        <v/>
      </c>
      <c r="B156" s="60">
        <f>IF(A156="","",Catalog!C156)</f>
        <v/>
      </c>
      <c r="C156" s="60">
        <f>IF(A156="","",Catalog!H156)</f>
        <v/>
      </c>
      <c r="D156" s="60">
        <f>IF(A156="","",Catalog!I156)</f>
        <v/>
      </c>
      <c r="E156" s="60">
        <f>IF(A156="","",Catalog!A156)</f>
        <v/>
      </c>
      <c r="F156" s="60">
        <f>IF(A156="","",Catalog!J156)</f>
        <v/>
      </c>
      <c r="G156" s="76">
        <f>IF(A156="","",Catalog!L156)</f>
        <v/>
      </c>
      <c r="H156" s="76">
        <f>IF(A156="","",Catalog!K156)</f>
        <v/>
      </c>
      <c r="I156" s="60">
        <f>IF(A156="","",Catalog!F156)</f>
        <v/>
      </c>
      <c r="J156" s="60">
        <f>IF(A156="","",Catalog!G156)</f>
        <v/>
      </c>
      <c r="K156" s="60">
        <f>IF(A156="","","TRUE")</f>
        <v/>
      </c>
      <c r="L156" s="60">
        <f>IF(A156="","","shopify")</f>
        <v/>
      </c>
      <c r="M156" s="60">
        <f>IF(A156="","","deny")</f>
        <v/>
      </c>
      <c r="N156" s="60">
        <f>IF(A156="","","active")</f>
        <v/>
      </c>
      <c r="O156" s="60">
        <f>IF(A156="","",VLOOKUP(E156,Inventory_Live!$A$2:$M$201,4,FALSE))</f>
        <v/>
      </c>
      <c r="P156" s="60">
        <f>IF(A156="","",VLOOKUP(E156,Inventory_Live!$A$2:$M$201,5,FALSE))</f>
        <v/>
      </c>
      <c r="Q156" s="60">
        <f>IF(A156="","",VLOOKUP(E156,Inventory_Live!$A$2:$M$201,6,FALSE))</f>
        <v/>
      </c>
    </row>
    <row r="157">
      <c r="A157" s="60">
        <f>IF(Catalog!N157&lt;&gt;"Yes","",Catalog!B157)</f>
        <v/>
      </c>
      <c r="B157" s="60">
        <f>IF(A157="","",Catalog!C157)</f>
        <v/>
      </c>
      <c r="C157" s="60">
        <f>IF(A157="","",Catalog!H157)</f>
        <v/>
      </c>
      <c r="D157" s="60">
        <f>IF(A157="","",Catalog!I157)</f>
        <v/>
      </c>
      <c r="E157" s="60">
        <f>IF(A157="","",Catalog!A157)</f>
        <v/>
      </c>
      <c r="F157" s="60">
        <f>IF(A157="","",Catalog!J157)</f>
        <v/>
      </c>
      <c r="G157" s="76">
        <f>IF(A157="","",Catalog!L157)</f>
        <v/>
      </c>
      <c r="H157" s="76">
        <f>IF(A157="","",Catalog!K157)</f>
        <v/>
      </c>
      <c r="I157" s="60">
        <f>IF(A157="","",Catalog!F157)</f>
        <v/>
      </c>
      <c r="J157" s="60">
        <f>IF(A157="","",Catalog!G157)</f>
        <v/>
      </c>
      <c r="K157" s="60">
        <f>IF(A157="","","TRUE")</f>
        <v/>
      </c>
      <c r="L157" s="60">
        <f>IF(A157="","","shopify")</f>
        <v/>
      </c>
      <c r="M157" s="60">
        <f>IF(A157="","","deny")</f>
        <v/>
      </c>
      <c r="N157" s="60">
        <f>IF(A157="","","active")</f>
        <v/>
      </c>
      <c r="O157" s="60">
        <f>IF(A157="","",VLOOKUP(E157,Inventory_Live!$A$2:$M$201,4,FALSE))</f>
        <v/>
      </c>
      <c r="P157" s="60">
        <f>IF(A157="","",VLOOKUP(E157,Inventory_Live!$A$2:$M$201,5,FALSE))</f>
        <v/>
      </c>
      <c r="Q157" s="60">
        <f>IF(A157="","",VLOOKUP(E157,Inventory_Live!$A$2:$M$201,6,FALSE))</f>
        <v/>
      </c>
    </row>
    <row r="158">
      <c r="A158" s="60">
        <f>IF(Catalog!N158&lt;&gt;"Yes","",Catalog!B158)</f>
        <v/>
      </c>
      <c r="B158" s="60">
        <f>IF(A158="","",Catalog!C158)</f>
        <v/>
      </c>
      <c r="C158" s="60">
        <f>IF(A158="","",Catalog!H158)</f>
        <v/>
      </c>
      <c r="D158" s="60">
        <f>IF(A158="","",Catalog!I158)</f>
        <v/>
      </c>
      <c r="E158" s="60">
        <f>IF(A158="","",Catalog!A158)</f>
        <v/>
      </c>
      <c r="F158" s="60">
        <f>IF(A158="","",Catalog!J158)</f>
        <v/>
      </c>
      <c r="G158" s="76">
        <f>IF(A158="","",Catalog!L158)</f>
        <v/>
      </c>
      <c r="H158" s="76">
        <f>IF(A158="","",Catalog!K158)</f>
        <v/>
      </c>
      <c r="I158" s="60">
        <f>IF(A158="","",Catalog!F158)</f>
        <v/>
      </c>
      <c r="J158" s="60">
        <f>IF(A158="","",Catalog!G158)</f>
        <v/>
      </c>
      <c r="K158" s="60">
        <f>IF(A158="","","TRUE")</f>
        <v/>
      </c>
      <c r="L158" s="60">
        <f>IF(A158="","","shopify")</f>
        <v/>
      </c>
      <c r="M158" s="60">
        <f>IF(A158="","","deny")</f>
        <v/>
      </c>
      <c r="N158" s="60">
        <f>IF(A158="","","active")</f>
        <v/>
      </c>
      <c r="O158" s="60">
        <f>IF(A158="","",VLOOKUP(E158,Inventory_Live!$A$2:$M$201,4,FALSE))</f>
        <v/>
      </c>
      <c r="P158" s="60">
        <f>IF(A158="","",VLOOKUP(E158,Inventory_Live!$A$2:$M$201,5,FALSE))</f>
        <v/>
      </c>
      <c r="Q158" s="60">
        <f>IF(A158="","",VLOOKUP(E158,Inventory_Live!$A$2:$M$201,6,FALSE))</f>
        <v/>
      </c>
    </row>
    <row r="159">
      <c r="A159" s="60">
        <f>IF(Catalog!N159&lt;&gt;"Yes","",Catalog!B159)</f>
        <v/>
      </c>
      <c r="B159" s="60">
        <f>IF(A159="","",Catalog!C159)</f>
        <v/>
      </c>
      <c r="C159" s="60">
        <f>IF(A159="","",Catalog!H159)</f>
        <v/>
      </c>
      <c r="D159" s="60">
        <f>IF(A159="","",Catalog!I159)</f>
        <v/>
      </c>
      <c r="E159" s="60">
        <f>IF(A159="","",Catalog!A159)</f>
        <v/>
      </c>
      <c r="F159" s="60">
        <f>IF(A159="","",Catalog!J159)</f>
        <v/>
      </c>
      <c r="G159" s="76">
        <f>IF(A159="","",Catalog!L159)</f>
        <v/>
      </c>
      <c r="H159" s="76">
        <f>IF(A159="","",Catalog!K159)</f>
        <v/>
      </c>
      <c r="I159" s="60">
        <f>IF(A159="","",Catalog!F159)</f>
        <v/>
      </c>
      <c r="J159" s="60">
        <f>IF(A159="","",Catalog!G159)</f>
        <v/>
      </c>
      <c r="K159" s="60">
        <f>IF(A159="","","TRUE")</f>
        <v/>
      </c>
      <c r="L159" s="60">
        <f>IF(A159="","","shopify")</f>
        <v/>
      </c>
      <c r="M159" s="60">
        <f>IF(A159="","","deny")</f>
        <v/>
      </c>
      <c r="N159" s="60">
        <f>IF(A159="","","active")</f>
        <v/>
      </c>
      <c r="O159" s="60">
        <f>IF(A159="","",VLOOKUP(E159,Inventory_Live!$A$2:$M$201,4,FALSE))</f>
        <v/>
      </c>
      <c r="P159" s="60">
        <f>IF(A159="","",VLOOKUP(E159,Inventory_Live!$A$2:$M$201,5,FALSE))</f>
        <v/>
      </c>
      <c r="Q159" s="60">
        <f>IF(A159="","",VLOOKUP(E159,Inventory_Live!$A$2:$M$201,6,FALSE))</f>
        <v/>
      </c>
    </row>
    <row r="160">
      <c r="A160" s="60">
        <f>IF(Catalog!N160&lt;&gt;"Yes","",Catalog!B160)</f>
        <v/>
      </c>
      <c r="B160" s="60">
        <f>IF(A160="","",Catalog!C160)</f>
        <v/>
      </c>
      <c r="C160" s="60">
        <f>IF(A160="","",Catalog!H160)</f>
        <v/>
      </c>
      <c r="D160" s="60">
        <f>IF(A160="","",Catalog!I160)</f>
        <v/>
      </c>
      <c r="E160" s="60">
        <f>IF(A160="","",Catalog!A160)</f>
        <v/>
      </c>
      <c r="F160" s="60">
        <f>IF(A160="","",Catalog!J160)</f>
        <v/>
      </c>
      <c r="G160" s="76">
        <f>IF(A160="","",Catalog!L160)</f>
        <v/>
      </c>
      <c r="H160" s="76">
        <f>IF(A160="","",Catalog!K160)</f>
        <v/>
      </c>
      <c r="I160" s="60">
        <f>IF(A160="","",Catalog!F160)</f>
        <v/>
      </c>
      <c r="J160" s="60">
        <f>IF(A160="","",Catalog!G160)</f>
        <v/>
      </c>
      <c r="K160" s="60">
        <f>IF(A160="","","TRUE")</f>
        <v/>
      </c>
      <c r="L160" s="60">
        <f>IF(A160="","","shopify")</f>
        <v/>
      </c>
      <c r="M160" s="60">
        <f>IF(A160="","","deny")</f>
        <v/>
      </c>
      <c r="N160" s="60">
        <f>IF(A160="","","active")</f>
        <v/>
      </c>
      <c r="O160" s="60">
        <f>IF(A160="","",VLOOKUP(E160,Inventory_Live!$A$2:$M$201,4,FALSE))</f>
        <v/>
      </c>
      <c r="P160" s="60">
        <f>IF(A160="","",VLOOKUP(E160,Inventory_Live!$A$2:$M$201,5,FALSE))</f>
        <v/>
      </c>
      <c r="Q160" s="60">
        <f>IF(A160="","",VLOOKUP(E160,Inventory_Live!$A$2:$M$201,6,FALSE))</f>
        <v/>
      </c>
    </row>
    <row r="161">
      <c r="A161" s="60">
        <f>IF(Catalog!N161&lt;&gt;"Yes","",Catalog!B161)</f>
        <v/>
      </c>
      <c r="B161" s="60">
        <f>IF(A161="","",Catalog!C161)</f>
        <v/>
      </c>
      <c r="C161" s="60">
        <f>IF(A161="","",Catalog!H161)</f>
        <v/>
      </c>
      <c r="D161" s="60">
        <f>IF(A161="","",Catalog!I161)</f>
        <v/>
      </c>
      <c r="E161" s="60">
        <f>IF(A161="","",Catalog!A161)</f>
        <v/>
      </c>
      <c r="F161" s="60">
        <f>IF(A161="","",Catalog!J161)</f>
        <v/>
      </c>
      <c r="G161" s="76">
        <f>IF(A161="","",Catalog!L161)</f>
        <v/>
      </c>
      <c r="H161" s="76">
        <f>IF(A161="","",Catalog!K161)</f>
        <v/>
      </c>
      <c r="I161" s="60">
        <f>IF(A161="","",Catalog!F161)</f>
        <v/>
      </c>
      <c r="J161" s="60">
        <f>IF(A161="","",Catalog!G161)</f>
        <v/>
      </c>
      <c r="K161" s="60">
        <f>IF(A161="","","TRUE")</f>
        <v/>
      </c>
      <c r="L161" s="60">
        <f>IF(A161="","","shopify")</f>
        <v/>
      </c>
      <c r="M161" s="60">
        <f>IF(A161="","","deny")</f>
        <v/>
      </c>
      <c r="N161" s="60">
        <f>IF(A161="","","active")</f>
        <v/>
      </c>
      <c r="O161" s="60">
        <f>IF(A161="","",VLOOKUP(E161,Inventory_Live!$A$2:$M$201,4,FALSE))</f>
        <v/>
      </c>
      <c r="P161" s="60">
        <f>IF(A161="","",VLOOKUP(E161,Inventory_Live!$A$2:$M$201,5,FALSE))</f>
        <v/>
      </c>
      <c r="Q161" s="60">
        <f>IF(A161="","",VLOOKUP(E161,Inventory_Live!$A$2:$M$201,6,FALSE))</f>
        <v/>
      </c>
    </row>
    <row r="162">
      <c r="A162" s="60">
        <f>IF(Catalog!N162&lt;&gt;"Yes","",Catalog!B162)</f>
        <v/>
      </c>
      <c r="B162" s="60">
        <f>IF(A162="","",Catalog!C162)</f>
        <v/>
      </c>
      <c r="C162" s="60">
        <f>IF(A162="","",Catalog!H162)</f>
        <v/>
      </c>
      <c r="D162" s="60">
        <f>IF(A162="","",Catalog!I162)</f>
        <v/>
      </c>
      <c r="E162" s="60">
        <f>IF(A162="","",Catalog!A162)</f>
        <v/>
      </c>
      <c r="F162" s="60">
        <f>IF(A162="","",Catalog!J162)</f>
        <v/>
      </c>
      <c r="G162" s="76">
        <f>IF(A162="","",Catalog!L162)</f>
        <v/>
      </c>
      <c r="H162" s="76">
        <f>IF(A162="","",Catalog!K162)</f>
        <v/>
      </c>
      <c r="I162" s="60">
        <f>IF(A162="","",Catalog!F162)</f>
        <v/>
      </c>
      <c r="J162" s="60">
        <f>IF(A162="","",Catalog!G162)</f>
        <v/>
      </c>
      <c r="K162" s="60">
        <f>IF(A162="","","TRUE")</f>
        <v/>
      </c>
      <c r="L162" s="60">
        <f>IF(A162="","","shopify")</f>
        <v/>
      </c>
      <c r="M162" s="60">
        <f>IF(A162="","","deny")</f>
        <v/>
      </c>
      <c r="N162" s="60">
        <f>IF(A162="","","active")</f>
        <v/>
      </c>
      <c r="O162" s="60">
        <f>IF(A162="","",VLOOKUP(E162,Inventory_Live!$A$2:$M$201,4,FALSE))</f>
        <v/>
      </c>
      <c r="P162" s="60">
        <f>IF(A162="","",VLOOKUP(E162,Inventory_Live!$A$2:$M$201,5,FALSE))</f>
        <v/>
      </c>
      <c r="Q162" s="60">
        <f>IF(A162="","",VLOOKUP(E162,Inventory_Live!$A$2:$M$201,6,FALSE))</f>
        <v/>
      </c>
    </row>
    <row r="163">
      <c r="A163" s="60">
        <f>IF(Catalog!N163&lt;&gt;"Yes","",Catalog!B163)</f>
        <v/>
      </c>
      <c r="B163" s="60">
        <f>IF(A163="","",Catalog!C163)</f>
        <v/>
      </c>
      <c r="C163" s="60">
        <f>IF(A163="","",Catalog!H163)</f>
        <v/>
      </c>
      <c r="D163" s="60">
        <f>IF(A163="","",Catalog!I163)</f>
        <v/>
      </c>
      <c r="E163" s="60">
        <f>IF(A163="","",Catalog!A163)</f>
        <v/>
      </c>
      <c r="F163" s="60">
        <f>IF(A163="","",Catalog!J163)</f>
        <v/>
      </c>
      <c r="G163" s="76">
        <f>IF(A163="","",Catalog!L163)</f>
        <v/>
      </c>
      <c r="H163" s="76">
        <f>IF(A163="","",Catalog!K163)</f>
        <v/>
      </c>
      <c r="I163" s="60">
        <f>IF(A163="","",Catalog!F163)</f>
        <v/>
      </c>
      <c r="J163" s="60">
        <f>IF(A163="","",Catalog!G163)</f>
        <v/>
      </c>
      <c r="K163" s="60">
        <f>IF(A163="","","TRUE")</f>
        <v/>
      </c>
      <c r="L163" s="60">
        <f>IF(A163="","","shopify")</f>
        <v/>
      </c>
      <c r="M163" s="60">
        <f>IF(A163="","","deny")</f>
        <v/>
      </c>
      <c r="N163" s="60">
        <f>IF(A163="","","active")</f>
        <v/>
      </c>
      <c r="O163" s="60">
        <f>IF(A163="","",VLOOKUP(E163,Inventory_Live!$A$2:$M$201,4,FALSE))</f>
        <v/>
      </c>
      <c r="P163" s="60">
        <f>IF(A163="","",VLOOKUP(E163,Inventory_Live!$A$2:$M$201,5,FALSE))</f>
        <v/>
      </c>
      <c r="Q163" s="60">
        <f>IF(A163="","",VLOOKUP(E163,Inventory_Live!$A$2:$M$201,6,FALSE))</f>
        <v/>
      </c>
    </row>
    <row r="164">
      <c r="A164" s="60">
        <f>IF(Catalog!N164&lt;&gt;"Yes","",Catalog!B164)</f>
        <v/>
      </c>
      <c r="B164" s="60">
        <f>IF(A164="","",Catalog!C164)</f>
        <v/>
      </c>
      <c r="C164" s="60">
        <f>IF(A164="","",Catalog!H164)</f>
        <v/>
      </c>
      <c r="D164" s="60">
        <f>IF(A164="","",Catalog!I164)</f>
        <v/>
      </c>
      <c r="E164" s="60">
        <f>IF(A164="","",Catalog!A164)</f>
        <v/>
      </c>
      <c r="F164" s="60">
        <f>IF(A164="","",Catalog!J164)</f>
        <v/>
      </c>
      <c r="G164" s="76">
        <f>IF(A164="","",Catalog!L164)</f>
        <v/>
      </c>
      <c r="H164" s="76">
        <f>IF(A164="","",Catalog!K164)</f>
        <v/>
      </c>
      <c r="I164" s="60">
        <f>IF(A164="","",Catalog!F164)</f>
        <v/>
      </c>
      <c r="J164" s="60">
        <f>IF(A164="","",Catalog!G164)</f>
        <v/>
      </c>
      <c r="K164" s="60">
        <f>IF(A164="","","TRUE")</f>
        <v/>
      </c>
      <c r="L164" s="60">
        <f>IF(A164="","","shopify")</f>
        <v/>
      </c>
      <c r="M164" s="60">
        <f>IF(A164="","","deny")</f>
        <v/>
      </c>
      <c r="N164" s="60">
        <f>IF(A164="","","active")</f>
        <v/>
      </c>
      <c r="O164" s="60">
        <f>IF(A164="","",VLOOKUP(E164,Inventory_Live!$A$2:$M$201,4,FALSE))</f>
        <v/>
      </c>
      <c r="P164" s="60">
        <f>IF(A164="","",VLOOKUP(E164,Inventory_Live!$A$2:$M$201,5,FALSE))</f>
        <v/>
      </c>
      <c r="Q164" s="60">
        <f>IF(A164="","",VLOOKUP(E164,Inventory_Live!$A$2:$M$201,6,FALSE))</f>
        <v/>
      </c>
    </row>
    <row r="165">
      <c r="A165" s="60">
        <f>IF(Catalog!N165&lt;&gt;"Yes","",Catalog!B165)</f>
        <v/>
      </c>
      <c r="B165" s="60">
        <f>IF(A165="","",Catalog!C165)</f>
        <v/>
      </c>
      <c r="C165" s="60">
        <f>IF(A165="","",Catalog!H165)</f>
        <v/>
      </c>
      <c r="D165" s="60">
        <f>IF(A165="","",Catalog!I165)</f>
        <v/>
      </c>
      <c r="E165" s="60">
        <f>IF(A165="","",Catalog!A165)</f>
        <v/>
      </c>
      <c r="F165" s="60">
        <f>IF(A165="","",Catalog!J165)</f>
        <v/>
      </c>
      <c r="G165" s="76">
        <f>IF(A165="","",Catalog!L165)</f>
        <v/>
      </c>
      <c r="H165" s="76">
        <f>IF(A165="","",Catalog!K165)</f>
        <v/>
      </c>
      <c r="I165" s="60">
        <f>IF(A165="","",Catalog!F165)</f>
        <v/>
      </c>
      <c r="J165" s="60">
        <f>IF(A165="","",Catalog!G165)</f>
        <v/>
      </c>
      <c r="K165" s="60">
        <f>IF(A165="","","TRUE")</f>
        <v/>
      </c>
      <c r="L165" s="60">
        <f>IF(A165="","","shopify")</f>
        <v/>
      </c>
      <c r="M165" s="60">
        <f>IF(A165="","","deny")</f>
        <v/>
      </c>
      <c r="N165" s="60">
        <f>IF(A165="","","active")</f>
        <v/>
      </c>
      <c r="O165" s="60">
        <f>IF(A165="","",VLOOKUP(E165,Inventory_Live!$A$2:$M$201,4,FALSE))</f>
        <v/>
      </c>
      <c r="P165" s="60">
        <f>IF(A165="","",VLOOKUP(E165,Inventory_Live!$A$2:$M$201,5,FALSE))</f>
        <v/>
      </c>
      <c r="Q165" s="60">
        <f>IF(A165="","",VLOOKUP(E165,Inventory_Live!$A$2:$M$201,6,FALSE))</f>
        <v/>
      </c>
    </row>
    <row r="166">
      <c r="A166" s="60">
        <f>IF(Catalog!N166&lt;&gt;"Yes","",Catalog!B166)</f>
        <v/>
      </c>
      <c r="B166" s="60">
        <f>IF(A166="","",Catalog!C166)</f>
        <v/>
      </c>
      <c r="C166" s="60">
        <f>IF(A166="","",Catalog!H166)</f>
        <v/>
      </c>
      <c r="D166" s="60">
        <f>IF(A166="","",Catalog!I166)</f>
        <v/>
      </c>
      <c r="E166" s="60">
        <f>IF(A166="","",Catalog!A166)</f>
        <v/>
      </c>
      <c r="F166" s="60">
        <f>IF(A166="","",Catalog!J166)</f>
        <v/>
      </c>
      <c r="G166" s="76">
        <f>IF(A166="","",Catalog!L166)</f>
        <v/>
      </c>
      <c r="H166" s="76">
        <f>IF(A166="","",Catalog!K166)</f>
        <v/>
      </c>
      <c r="I166" s="60">
        <f>IF(A166="","",Catalog!F166)</f>
        <v/>
      </c>
      <c r="J166" s="60">
        <f>IF(A166="","",Catalog!G166)</f>
        <v/>
      </c>
      <c r="K166" s="60">
        <f>IF(A166="","","TRUE")</f>
        <v/>
      </c>
      <c r="L166" s="60">
        <f>IF(A166="","","shopify")</f>
        <v/>
      </c>
      <c r="M166" s="60">
        <f>IF(A166="","","deny")</f>
        <v/>
      </c>
      <c r="N166" s="60">
        <f>IF(A166="","","active")</f>
        <v/>
      </c>
      <c r="O166" s="60">
        <f>IF(A166="","",VLOOKUP(E166,Inventory_Live!$A$2:$M$201,4,FALSE))</f>
        <v/>
      </c>
      <c r="P166" s="60">
        <f>IF(A166="","",VLOOKUP(E166,Inventory_Live!$A$2:$M$201,5,FALSE))</f>
        <v/>
      </c>
      <c r="Q166" s="60">
        <f>IF(A166="","",VLOOKUP(E166,Inventory_Live!$A$2:$M$201,6,FALSE))</f>
        <v/>
      </c>
    </row>
    <row r="167">
      <c r="A167" s="60">
        <f>IF(Catalog!N167&lt;&gt;"Yes","",Catalog!B167)</f>
        <v/>
      </c>
      <c r="B167" s="60">
        <f>IF(A167="","",Catalog!C167)</f>
        <v/>
      </c>
      <c r="C167" s="60">
        <f>IF(A167="","",Catalog!H167)</f>
        <v/>
      </c>
      <c r="D167" s="60">
        <f>IF(A167="","",Catalog!I167)</f>
        <v/>
      </c>
      <c r="E167" s="60">
        <f>IF(A167="","",Catalog!A167)</f>
        <v/>
      </c>
      <c r="F167" s="60">
        <f>IF(A167="","",Catalog!J167)</f>
        <v/>
      </c>
      <c r="G167" s="76">
        <f>IF(A167="","",Catalog!L167)</f>
        <v/>
      </c>
      <c r="H167" s="76">
        <f>IF(A167="","",Catalog!K167)</f>
        <v/>
      </c>
      <c r="I167" s="60">
        <f>IF(A167="","",Catalog!F167)</f>
        <v/>
      </c>
      <c r="J167" s="60">
        <f>IF(A167="","",Catalog!G167)</f>
        <v/>
      </c>
      <c r="K167" s="60">
        <f>IF(A167="","","TRUE")</f>
        <v/>
      </c>
      <c r="L167" s="60">
        <f>IF(A167="","","shopify")</f>
        <v/>
      </c>
      <c r="M167" s="60">
        <f>IF(A167="","","deny")</f>
        <v/>
      </c>
      <c r="N167" s="60">
        <f>IF(A167="","","active")</f>
        <v/>
      </c>
      <c r="O167" s="60">
        <f>IF(A167="","",VLOOKUP(E167,Inventory_Live!$A$2:$M$201,4,FALSE))</f>
        <v/>
      </c>
      <c r="P167" s="60">
        <f>IF(A167="","",VLOOKUP(E167,Inventory_Live!$A$2:$M$201,5,FALSE))</f>
        <v/>
      </c>
      <c r="Q167" s="60">
        <f>IF(A167="","",VLOOKUP(E167,Inventory_Live!$A$2:$M$201,6,FALSE))</f>
        <v/>
      </c>
    </row>
    <row r="168">
      <c r="A168" s="60">
        <f>IF(Catalog!N168&lt;&gt;"Yes","",Catalog!B168)</f>
        <v/>
      </c>
      <c r="B168" s="60">
        <f>IF(A168="","",Catalog!C168)</f>
        <v/>
      </c>
      <c r="C168" s="60">
        <f>IF(A168="","",Catalog!H168)</f>
        <v/>
      </c>
      <c r="D168" s="60">
        <f>IF(A168="","",Catalog!I168)</f>
        <v/>
      </c>
      <c r="E168" s="60">
        <f>IF(A168="","",Catalog!A168)</f>
        <v/>
      </c>
      <c r="F168" s="60">
        <f>IF(A168="","",Catalog!J168)</f>
        <v/>
      </c>
      <c r="G168" s="76">
        <f>IF(A168="","",Catalog!L168)</f>
        <v/>
      </c>
      <c r="H168" s="76">
        <f>IF(A168="","",Catalog!K168)</f>
        <v/>
      </c>
      <c r="I168" s="60">
        <f>IF(A168="","",Catalog!F168)</f>
        <v/>
      </c>
      <c r="J168" s="60">
        <f>IF(A168="","",Catalog!G168)</f>
        <v/>
      </c>
      <c r="K168" s="60">
        <f>IF(A168="","","TRUE")</f>
        <v/>
      </c>
      <c r="L168" s="60">
        <f>IF(A168="","","shopify")</f>
        <v/>
      </c>
      <c r="M168" s="60">
        <f>IF(A168="","","deny")</f>
        <v/>
      </c>
      <c r="N168" s="60">
        <f>IF(A168="","","active")</f>
        <v/>
      </c>
      <c r="O168" s="60">
        <f>IF(A168="","",VLOOKUP(E168,Inventory_Live!$A$2:$M$201,4,FALSE))</f>
        <v/>
      </c>
      <c r="P168" s="60">
        <f>IF(A168="","",VLOOKUP(E168,Inventory_Live!$A$2:$M$201,5,FALSE))</f>
        <v/>
      </c>
      <c r="Q168" s="60">
        <f>IF(A168="","",VLOOKUP(E168,Inventory_Live!$A$2:$M$201,6,FALSE))</f>
        <v/>
      </c>
    </row>
    <row r="169">
      <c r="A169" s="60">
        <f>IF(Catalog!N169&lt;&gt;"Yes","",Catalog!B169)</f>
        <v/>
      </c>
      <c r="B169" s="60">
        <f>IF(A169="","",Catalog!C169)</f>
        <v/>
      </c>
      <c r="C169" s="60">
        <f>IF(A169="","",Catalog!H169)</f>
        <v/>
      </c>
      <c r="D169" s="60">
        <f>IF(A169="","",Catalog!I169)</f>
        <v/>
      </c>
      <c r="E169" s="60">
        <f>IF(A169="","",Catalog!A169)</f>
        <v/>
      </c>
      <c r="F169" s="60">
        <f>IF(A169="","",Catalog!J169)</f>
        <v/>
      </c>
      <c r="G169" s="76">
        <f>IF(A169="","",Catalog!L169)</f>
        <v/>
      </c>
      <c r="H169" s="76">
        <f>IF(A169="","",Catalog!K169)</f>
        <v/>
      </c>
      <c r="I169" s="60">
        <f>IF(A169="","",Catalog!F169)</f>
        <v/>
      </c>
      <c r="J169" s="60">
        <f>IF(A169="","",Catalog!G169)</f>
        <v/>
      </c>
      <c r="K169" s="60">
        <f>IF(A169="","","TRUE")</f>
        <v/>
      </c>
      <c r="L169" s="60">
        <f>IF(A169="","","shopify")</f>
        <v/>
      </c>
      <c r="M169" s="60">
        <f>IF(A169="","","deny")</f>
        <v/>
      </c>
      <c r="N169" s="60">
        <f>IF(A169="","","active")</f>
        <v/>
      </c>
      <c r="O169" s="60">
        <f>IF(A169="","",VLOOKUP(E169,Inventory_Live!$A$2:$M$201,4,FALSE))</f>
        <v/>
      </c>
      <c r="P169" s="60">
        <f>IF(A169="","",VLOOKUP(E169,Inventory_Live!$A$2:$M$201,5,FALSE))</f>
        <v/>
      </c>
      <c r="Q169" s="60">
        <f>IF(A169="","",VLOOKUP(E169,Inventory_Live!$A$2:$M$201,6,FALSE))</f>
        <v/>
      </c>
    </row>
    <row r="170">
      <c r="A170" s="60">
        <f>IF(Catalog!N170&lt;&gt;"Yes","",Catalog!B170)</f>
        <v/>
      </c>
      <c r="B170" s="60">
        <f>IF(A170="","",Catalog!C170)</f>
        <v/>
      </c>
      <c r="C170" s="60">
        <f>IF(A170="","",Catalog!H170)</f>
        <v/>
      </c>
      <c r="D170" s="60">
        <f>IF(A170="","",Catalog!I170)</f>
        <v/>
      </c>
      <c r="E170" s="60">
        <f>IF(A170="","",Catalog!A170)</f>
        <v/>
      </c>
      <c r="F170" s="60">
        <f>IF(A170="","",Catalog!J170)</f>
        <v/>
      </c>
      <c r="G170" s="76">
        <f>IF(A170="","",Catalog!L170)</f>
        <v/>
      </c>
      <c r="H170" s="76">
        <f>IF(A170="","",Catalog!K170)</f>
        <v/>
      </c>
      <c r="I170" s="60">
        <f>IF(A170="","",Catalog!F170)</f>
        <v/>
      </c>
      <c r="J170" s="60">
        <f>IF(A170="","",Catalog!G170)</f>
        <v/>
      </c>
      <c r="K170" s="60">
        <f>IF(A170="","","TRUE")</f>
        <v/>
      </c>
      <c r="L170" s="60">
        <f>IF(A170="","","shopify")</f>
        <v/>
      </c>
      <c r="M170" s="60">
        <f>IF(A170="","","deny")</f>
        <v/>
      </c>
      <c r="N170" s="60">
        <f>IF(A170="","","active")</f>
        <v/>
      </c>
      <c r="O170" s="60">
        <f>IF(A170="","",VLOOKUP(E170,Inventory_Live!$A$2:$M$201,4,FALSE))</f>
        <v/>
      </c>
      <c r="P170" s="60">
        <f>IF(A170="","",VLOOKUP(E170,Inventory_Live!$A$2:$M$201,5,FALSE))</f>
        <v/>
      </c>
      <c r="Q170" s="60">
        <f>IF(A170="","",VLOOKUP(E170,Inventory_Live!$A$2:$M$201,6,FALSE))</f>
        <v/>
      </c>
    </row>
    <row r="171">
      <c r="A171" s="60">
        <f>IF(Catalog!N171&lt;&gt;"Yes","",Catalog!B171)</f>
        <v/>
      </c>
      <c r="B171" s="60">
        <f>IF(A171="","",Catalog!C171)</f>
        <v/>
      </c>
      <c r="C171" s="60">
        <f>IF(A171="","",Catalog!H171)</f>
        <v/>
      </c>
      <c r="D171" s="60">
        <f>IF(A171="","",Catalog!I171)</f>
        <v/>
      </c>
      <c r="E171" s="60">
        <f>IF(A171="","",Catalog!A171)</f>
        <v/>
      </c>
      <c r="F171" s="60">
        <f>IF(A171="","",Catalog!J171)</f>
        <v/>
      </c>
      <c r="G171" s="76">
        <f>IF(A171="","",Catalog!L171)</f>
        <v/>
      </c>
      <c r="H171" s="76">
        <f>IF(A171="","",Catalog!K171)</f>
        <v/>
      </c>
      <c r="I171" s="60">
        <f>IF(A171="","",Catalog!F171)</f>
        <v/>
      </c>
      <c r="J171" s="60">
        <f>IF(A171="","",Catalog!G171)</f>
        <v/>
      </c>
      <c r="K171" s="60">
        <f>IF(A171="","","TRUE")</f>
        <v/>
      </c>
      <c r="L171" s="60">
        <f>IF(A171="","","shopify")</f>
        <v/>
      </c>
      <c r="M171" s="60">
        <f>IF(A171="","","deny")</f>
        <v/>
      </c>
      <c r="N171" s="60">
        <f>IF(A171="","","active")</f>
        <v/>
      </c>
      <c r="O171" s="60">
        <f>IF(A171="","",VLOOKUP(E171,Inventory_Live!$A$2:$M$201,4,FALSE))</f>
        <v/>
      </c>
      <c r="P171" s="60">
        <f>IF(A171="","",VLOOKUP(E171,Inventory_Live!$A$2:$M$201,5,FALSE))</f>
        <v/>
      </c>
      <c r="Q171" s="60">
        <f>IF(A171="","",VLOOKUP(E171,Inventory_Live!$A$2:$M$201,6,FALSE))</f>
        <v/>
      </c>
    </row>
    <row r="172">
      <c r="A172" s="60">
        <f>IF(Catalog!N172&lt;&gt;"Yes","",Catalog!B172)</f>
        <v/>
      </c>
      <c r="B172" s="60">
        <f>IF(A172="","",Catalog!C172)</f>
        <v/>
      </c>
      <c r="C172" s="60">
        <f>IF(A172="","",Catalog!H172)</f>
        <v/>
      </c>
      <c r="D172" s="60">
        <f>IF(A172="","",Catalog!I172)</f>
        <v/>
      </c>
      <c r="E172" s="60">
        <f>IF(A172="","",Catalog!A172)</f>
        <v/>
      </c>
      <c r="F172" s="60">
        <f>IF(A172="","",Catalog!J172)</f>
        <v/>
      </c>
      <c r="G172" s="76">
        <f>IF(A172="","",Catalog!L172)</f>
        <v/>
      </c>
      <c r="H172" s="76">
        <f>IF(A172="","",Catalog!K172)</f>
        <v/>
      </c>
      <c r="I172" s="60">
        <f>IF(A172="","",Catalog!F172)</f>
        <v/>
      </c>
      <c r="J172" s="60">
        <f>IF(A172="","",Catalog!G172)</f>
        <v/>
      </c>
      <c r="K172" s="60">
        <f>IF(A172="","","TRUE")</f>
        <v/>
      </c>
      <c r="L172" s="60">
        <f>IF(A172="","","shopify")</f>
        <v/>
      </c>
      <c r="M172" s="60">
        <f>IF(A172="","","deny")</f>
        <v/>
      </c>
      <c r="N172" s="60">
        <f>IF(A172="","","active")</f>
        <v/>
      </c>
      <c r="O172" s="60">
        <f>IF(A172="","",VLOOKUP(E172,Inventory_Live!$A$2:$M$201,4,FALSE))</f>
        <v/>
      </c>
      <c r="P172" s="60">
        <f>IF(A172="","",VLOOKUP(E172,Inventory_Live!$A$2:$M$201,5,FALSE))</f>
        <v/>
      </c>
      <c r="Q172" s="60">
        <f>IF(A172="","",VLOOKUP(E172,Inventory_Live!$A$2:$M$201,6,FALSE))</f>
        <v/>
      </c>
    </row>
    <row r="173">
      <c r="A173" s="60">
        <f>IF(Catalog!N173&lt;&gt;"Yes","",Catalog!B173)</f>
        <v/>
      </c>
      <c r="B173" s="60">
        <f>IF(A173="","",Catalog!C173)</f>
        <v/>
      </c>
      <c r="C173" s="60">
        <f>IF(A173="","",Catalog!H173)</f>
        <v/>
      </c>
      <c r="D173" s="60">
        <f>IF(A173="","",Catalog!I173)</f>
        <v/>
      </c>
      <c r="E173" s="60">
        <f>IF(A173="","",Catalog!A173)</f>
        <v/>
      </c>
      <c r="F173" s="60">
        <f>IF(A173="","",Catalog!J173)</f>
        <v/>
      </c>
      <c r="G173" s="76">
        <f>IF(A173="","",Catalog!L173)</f>
        <v/>
      </c>
      <c r="H173" s="76">
        <f>IF(A173="","",Catalog!K173)</f>
        <v/>
      </c>
      <c r="I173" s="60">
        <f>IF(A173="","",Catalog!F173)</f>
        <v/>
      </c>
      <c r="J173" s="60">
        <f>IF(A173="","",Catalog!G173)</f>
        <v/>
      </c>
      <c r="K173" s="60">
        <f>IF(A173="","","TRUE")</f>
        <v/>
      </c>
      <c r="L173" s="60">
        <f>IF(A173="","","shopify")</f>
        <v/>
      </c>
      <c r="M173" s="60">
        <f>IF(A173="","","deny")</f>
        <v/>
      </c>
      <c r="N173" s="60">
        <f>IF(A173="","","active")</f>
        <v/>
      </c>
      <c r="O173" s="60">
        <f>IF(A173="","",VLOOKUP(E173,Inventory_Live!$A$2:$M$201,4,FALSE))</f>
        <v/>
      </c>
      <c r="P173" s="60">
        <f>IF(A173="","",VLOOKUP(E173,Inventory_Live!$A$2:$M$201,5,FALSE))</f>
        <v/>
      </c>
      <c r="Q173" s="60">
        <f>IF(A173="","",VLOOKUP(E173,Inventory_Live!$A$2:$M$201,6,FALSE))</f>
        <v/>
      </c>
    </row>
    <row r="174">
      <c r="A174" s="60">
        <f>IF(Catalog!N174&lt;&gt;"Yes","",Catalog!B174)</f>
        <v/>
      </c>
      <c r="B174" s="60">
        <f>IF(A174="","",Catalog!C174)</f>
        <v/>
      </c>
      <c r="C174" s="60">
        <f>IF(A174="","",Catalog!H174)</f>
        <v/>
      </c>
      <c r="D174" s="60">
        <f>IF(A174="","",Catalog!I174)</f>
        <v/>
      </c>
      <c r="E174" s="60">
        <f>IF(A174="","",Catalog!A174)</f>
        <v/>
      </c>
      <c r="F174" s="60">
        <f>IF(A174="","",Catalog!J174)</f>
        <v/>
      </c>
      <c r="G174" s="76">
        <f>IF(A174="","",Catalog!L174)</f>
        <v/>
      </c>
      <c r="H174" s="76">
        <f>IF(A174="","",Catalog!K174)</f>
        <v/>
      </c>
      <c r="I174" s="60">
        <f>IF(A174="","",Catalog!F174)</f>
        <v/>
      </c>
      <c r="J174" s="60">
        <f>IF(A174="","",Catalog!G174)</f>
        <v/>
      </c>
      <c r="K174" s="60">
        <f>IF(A174="","","TRUE")</f>
        <v/>
      </c>
      <c r="L174" s="60">
        <f>IF(A174="","","shopify")</f>
        <v/>
      </c>
      <c r="M174" s="60">
        <f>IF(A174="","","deny")</f>
        <v/>
      </c>
      <c r="N174" s="60">
        <f>IF(A174="","","active")</f>
        <v/>
      </c>
      <c r="O174" s="60">
        <f>IF(A174="","",VLOOKUP(E174,Inventory_Live!$A$2:$M$201,4,FALSE))</f>
        <v/>
      </c>
      <c r="P174" s="60">
        <f>IF(A174="","",VLOOKUP(E174,Inventory_Live!$A$2:$M$201,5,FALSE))</f>
        <v/>
      </c>
      <c r="Q174" s="60">
        <f>IF(A174="","",VLOOKUP(E174,Inventory_Live!$A$2:$M$201,6,FALSE))</f>
        <v/>
      </c>
    </row>
    <row r="175">
      <c r="A175" s="60">
        <f>IF(Catalog!N175&lt;&gt;"Yes","",Catalog!B175)</f>
        <v/>
      </c>
      <c r="B175" s="60">
        <f>IF(A175="","",Catalog!C175)</f>
        <v/>
      </c>
      <c r="C175" s="60">
        <f>IF(A175="","",Catalog!H175)</f>
        <v/>
      </c>
      <c r="D175" s="60">
        <f>IF(A175="","",Catalog!I175)</f>
        <v/>
      </c>
      <c r="E175" s="60">
        <f>IF(A175="","",Catalog!A175)</f>
        <v/>
      </c>
      <c r="F175" s="60">
        <f>IF(A175="","",Catalog!J175)</f>
        <v/>
      </c>
      <c r="G175" s="76">
        <f>IF(A175="","",Catalog!L175)</f>
        <v/>
      </c>
      <c r="H175" s="76">
        <f>IF(A175="","",Catalog!K175)</f>
        <v/>
      </c>
      <c r="I175" s="60">
        <f>IF(A175="","",Catalog!F175)</f>
        <v/>
      </c>
      <c r="J175" s="60">
        <f>IF(A175="","",Catalog!G175)</f>
        <v/>
      </c>
      <c r="K175" s="60">
        <f>IF(A175="","","TRUE")</f>
        <v/>
      </c>
      <c r="L175" s="60">
        <f>IF(A175="","","shopify")</f>
        <v/>
      </c>
      <c r="M175" s="60">
        <f>IF(A175="","","deny")</f>
        <v/>
      </c>
      <c r="N175" s="60">
        <f>IF(A175="","","active")</f>
        <v/>
      </c>
      <c r="O175" s="60">
        <f>IF(A175="","",VLOOKUP(E175,Inventory_Live!$A$2:$M$201,4,FALSE))</f>
        <v/>
      </c>
      <c r="P175" s="60">
        <f>IF(A175="","",VLOOKUP(E175,Inventory_Live!$A$2:$M$201,5,FALSE))</f>
        <v/>
      </c>
      <c r="Q175" s="60">
        <f>IF(A175="","",VLOOKUP(E175,Inventory_Live!$A$2:$M$201,6,FALSE))</f>
        <v/>
      </c>
    </row>
    <row r="176">
      <c r="A176" s="60">
        <f>IF(Catalog!N176&lt;&gt;"Yes","",Catalog!B176)</f>
        <v/>
      </c>
      <c r="B176" s="60">
        <f>IF(A176="","",Catalog!C176)</f>
        <v/>
      </c>
      <c r="C176" s="60">
        <f>IF(A176="","",Catalog!H176)</f>
        <v/>
      </c>
      <c r="D176" s="60">
        <f>IF(A176="","",Catalog!I176)</f>
        <v/>
      </c>
      <c r="E176" s="60">
        <f>IF(A176="","",Catalog!A176)</f>
        <v/>
      </c>
      <c r="F176" s="60">
        <f>IF(A176="","",Catalog!J176)</f>
        <v/>
      </c>
      <c r="G176" s="76">
        <f>IF(A176="","",Catalog!L176)</f>
        <v/>
      </c>
      <c r="H176" s="76">
        <f>IF(A176="","",Catalog!K176)</f>
        <v/>
      </c>
      <c r="I176" s="60">
        <f>IF(A176="","",Catalog!F176)</f>
        <v/>
      </c>
      <c r="J176" s="60">
        <f>IF(A176="","",Catalog!G176)</f>
        <v/>
      </c>
      <c r="K176" s="60">
        <f>IF(A176="","","TRUE")</f>
        <v/>
      </c>
      <c r="L176" s="60">
        <f>IF(A176="","","shopify")</f>
        <v/>
      </c>
      <c r="M176" s="60">
        <f>IF(A176="","","deny")</f>
        <v/>
      </c>
      <c r="N176" s="60">
        <f>IF(A176="","","active")</f>
        <v/>
      </c>
      <c r="O176" s="60">
        <f>IF(A176="","",VLOOKUP(E176,Inventory_Live!$A$2:$M$201,4,FALSE))</f>
        <v/>
      </c>
      <c r="P176" s="60">
        <f>IF(A176="","",VLOOKUP(E176,Inventory_Live!$A$2:$M$201,5,FALSE))</f>
        <v/>
      </c>
      <c r="Q176" s="60">
        <f>IF(A176="","",VLOOKUP(E176,Inventory_Live!$A$2:$M$201,6,FALSE))</f>
        <v/>
      </c>
    </row>
    <row r="177">
      <c r="A177" s="60">
        <f>IF(Catalog!N177&lt;&gt;"Yes","",Catalog!B177)</f>
        <v/>
      </c>
      <c r="B177" s="60">
        <f>IF(A177="","",Catalog!C177)</f>
        <v/>
      </c>
      <c r="C177" s="60">
        <f>IF(A177="","",Catalog!H177)</f>
        <v/>
      </c>
      <c r="D177" s="60">
        <f>IF(A177="","",Catalog!I177)</f>
        <v/>
      </c>
      <c r="E177" s="60">
        <f>IF(A177="","",Catalog!A177)</f>
        <v/>
      </c>
      <c r="F177" s="60">
        <f>IF(A177="","",Catalog!J177)</f>
        <v/>
      </c>
      <c r="G177" s="76">
        <f>IF(A177="","",Catalog!L177)</f>
        <v/>
      </c>
      <c r="H177" s="76">
        <f>IF(A177="","",Catalog!K177)</f>
        <v/>
      </c>
      <c r="I177" s="60">
        <f>IF(A177="","",Catalog!F177)</f>
        <v/>
      </c>
      <c r="J177" s="60">
        <f>IF(A177="","",Catalog!G177)</f>
        <v/>
      </c>
      <c r="K177" s="60">
        <f>IF(A177="","","TRUE")</f>
        <v/>
      </c>
      <c r="L177" s="60">
        <f>IF(A177="","","shopify")</f>
        <v/>
      </c>
      <c r="M177" s="60">
        <f>IF(A177="","","deny")</f>
        <v/>
      </c>
      <c r="N177" s="60">
        <f>IF(A177="","","active")</f>
        <v/>
      </c>
      <c r="O177" s="60">
        <f>IF(A177="","",VLOOKUP(E177,Inventory_Live!$A$2:$M$201,4,FALSE))</f>
        <v/>
      </c>
      <c r="P177" s="60">
        <f>IF(A177="","",VLOOKUP(E177,Inventory_Live!$A$2:$M$201,5,FALSE))</f>
        <v/>
      </c>
      <c r="Q177" s="60">
        <f>IF(A177="","",VLOOKUP(E177,Inventory_Live!$A$2:$M$201,6,FALSE))</f>
        <v/>
      </c>
    </row>
    <row r="178">
      <c r="A178" s="60">
        <f>IF(Catalog!N178&lt;&gt;"Yes","",Catalog!B178)</f>
        <v/>
      </c>
      <c r="B178" s="60">
        <f>IF(A178="","",Catalog!C178)</f>
        <v/>
      </c>
      <c r="C178" s="60">
        <f>IF(A178="","",Catalog!H178)</f>
        <v/>
      </c>
      <c r="D178" s="60">
        <f>IF(A178="","",Catalog!I178)</f>
        <v/>
      </c>
      <c r="E178" s="60">
        <f>IF(A178="","",Catalog!A178)</f>
        <v/>
      </c>
      <c r="F178" s="60">
        <f>IF(A178="","",Catalog!J178)</f>
        <v/>
      </c>
      <c r="G178" s="76">
        <f>IF(A178="","",Catalog!L178)</f>
        <v/>
      </c>
      <c r="H178" s="76">
        <f>IF(A178="","",Catalog!K178)</f>
        <v/>
      </c>
      <c r="I178" s="60">
        <f>IF(A178="","",Catalog!F178)</f>
        <v/>
      </c>
      <c r="J178" s="60">
        <f>IF(A178="","",Catalog!G178)</f>
        <v/>
      </c>
      <c r="K178" s="60">
        <f>IF(A178="","","TRUE")</f>
        <v/>
      </c>
      <c r="L178" s="60">
        <f>IF(A178="","","shopify")</f>
        <v/>
      </c>
      <c r="M178" s="60">
        <f>IF(A178="","","deny")</f>
        <v/>
      </c>
      <c r="N178" s="60">
        <f>IF(A178="","","active")</f>
        <v/>
      </c>
      <c r="O178" s="60">
        <f>IF(A178="","",VLOOKUP(E178,Inventory_Live!$A$2:$M$201,4,FALSE))</f>
        <v/>
      </c>
      <c r="P178" s="60">
        <f>IF(A178="","",VLOOKUP(E178,Inventory_Live!$A$2:$M$201,5,FALSE))</f>
        <v/>
      </c>
      <c r="Q178" s="60">
        <f>IF(A178="","",VLOOKUP(E178,Inventory_Live!$A$2:$M$201,6,FALSE))</f>
        <v/>
      </c>
    </row>
    <row r="179">
      <c r="A179" s="60">
        <f>IF(Catalog!N179&lt;&gt;"Yes","",Catalog!B179)</f>
        <v/>
      </c>
      <c r="B179" s="60">
        <f>IF(A179="","",Catalog!C179)</f>
        <v/>
      </c>
      <c r="C179" s="60">
        <f>IF(A179="","",Catalog!H179)</f>
        <v/>
      </c>
      <c r="D179" s="60">
        <f>IF(A179="","",Catalog!I179)</f>
        <v/>
      </c>
      <c r="E179" s="60">
        <f>IF(A179="","",Catalog!A179)</f>
        <v/>
      </c>
      <c r="F179" s="60">
        <f>IF(A179="","",Catalog!J179)</f>
        <v/>
      </c>
      <c r="G179" s="76">
        <f>IF(A179="","",Catalog!L179)</f>
        <v/>
      </c>
      <c r="H179" s="76">
        <f>IF(A179="","",Catalog!K179)</f>
        <v/>
      </c>
      <c r="I179" s="60">
        <f>IF(A179="","",Catalog!F179)</f>
        <v/>
      </c>
      <c r="J179" s="60">
        <f>IF(A179="","",Catalog!G179)</f>
        <v/>
      </c>
      <c r="K179" s="60">
        <f>IF(A179="","","TRUE")</f>
        <v/>
      </c>
      <c r="L179" s="60">
        <f>IF(A179="","","shopify")</f>
        <v/>
      </c>
      <c r="M179" s="60">
        <f>IF(A179="","","deny")</f>
        <v/>
      </c>
      <c r="N179" s="60">
        <f>IF(A179="","","active")</f>
        <v/>
      </c>
      <c r="O179" s="60">
        <f>IF(A179="","",VLOOKUP(E179,Inventory_Live!$A$2:$M$201,4,FALSE))</f>
        <v/>
      </c>
      <c r="P179" s="60">
        <f>IF(A179="","",VLOOKUP(E179,Inventory_Live!$A$2:$M$201,5,FALSE))</f>
        <v/>
      </c>
      <c r="Q179" s="60">
        <f>IF(A179="","",VLOOKUP(E179,Inventory_Live!$A$2:$M$201,6,FALSE))</f>
        <v/>
      </c>
    </row>
    <row r="180">
      <c r="A180" s="60">
        <f>IF(Catalog!N180&lt;&gt;"Yes","",Catalog!B180)</f>
        <v/>
      </c>
      <c r="B180" s="60">
        <f>IF(A180="","",Catalog!C180)</f>
        <v/>
      </c>
      <c r="C180" s="60">
        <f>IF(A180="","",Catalog!H180)</f>
        <v/>
      </c>
      <c r="D180" s="60">
        <f>IF(A180="","",Catalog!I180)</f>
        <v/>
      </c>
      <c r="E180" s="60">
        <f>IF(A180="","",Catalog!A180)</f>
        <v/>
      </c>
      <c r="F180" s="60">
        <f>IF(A180="","",Catalog!J180)</f>
        <v/>
      </c>
      <c r="G180" s="76">
        <f>IF(A180="","",Catalog!L180)</f>
        <v/>
      </c>
      <c r="H180" s="76">
        <f>IF(A180="","",Catalog!K180)</f>
        <v/>
      </c>
      <c r="I180" s="60">
        <f>IF(A180="","",Catalog!F180)</f>
        <v/>
      </c>
      <c r="J180" s="60">
        <f>IF(A180="","",Catalog!G180)</f>
        <v/>
      </c>
      <c r="K180" s="60">
        <f>IF(A180="","","TRUE")</f>
        <v/>
      </c>
      <c r="L180" s="60">
        <f>IF(A180="","","shopify")</f>
        <v/>
      </c>
      <c r="M180" s="60">
        <f>IF(A180="","","deny")</f>
        <v/>
      </c>
      <c r="N180" s="60">
        <f>IF(A180="","","active")</f>
        <v/>
      </c>
      <c r="O180" s="60">
        <f>IF(A180="","",VLOOKUP(E180,Inventory_Live!$A$2:$M$201,4,FALSE))</f>
        <v/>
      </c>
      <c r="P180" s="60">
        <f>IF(A180="","",VLOOKUP(E180,Inventory_Live!$A$2:$M$201,5,FALSE))</f>
        <v/>
      </c>
      <c r="Q180" s="60">
        <f>IF(A180="","",VLOOKUP(E180,Inventory_Live!$A$2:$M$201,6,FALSE))</f>
        <v/>
      </c>
    </row>
    <row r="181">
      <c r="A181" s="60">
        <f>IF(Catalog!N181&lt;&gt;"Yes","",Catalog!B181)</f>
        <v/>
      </c>
      <c r="B181" s="60">
        <f>IF(A181="","",Catalog!C181)</f>
        <v/>
      </c>
      <c r="C181" s="60">
        <f>IF(A181="","",Catalog!H181)</f>
        <v/>
      </c>
      <c r="D181" s="60">
        <f>IF(A181="","",Catalog!I181)</f>
        <v/>
      </c>
      <c r="E181" s="60">
        <f>IF(A181="","",Catalog!A181)</f>
        <v/>
      </c>
      <c r="F181" s="60">
        <f>IF(A181="","",Catalog!J181)</f>
        <v/>
      </c>
      <c r="G181" s="76">
        <f>IF(A181="","",Catalog!L181)</f>
        <v/>
      </c>
      <c r="H181" s="76">
        <f>IF(A181="","",Catalog!K181)</f>
        <v/>
      </c>
      <c r="I181" s="60">
        <f>IF(A181="","",Catalog!F181)</f>
        <v/>
      </c>
      <c r="J181" s="60">
        <f>IF(A181="","",Catalog!G181)</f>
        <v/>
      </c>
      <c r="K181" s="60">
        <f>IF(A181="","","TRUE")</f>
        <v/>
      </c>
      <c r="L181" s="60">
        <f>IF(A181="","","shopify")</f>
        <v/>
      </c>
      <c r="M181" s="60">
        <f>IF(A181="","","deny")</f>
        <v/>
      </c>
      <c r="N181" s="60">
        <f>IF(A181="","","active")</f>
        <v/>
      </c>
      <c r="O181" s="60">
        <f>IF(A181="","",VLOOKUP(E181,Inventory_Live!$A$2:$M$201,4,FALSE))</f>
        <v/>
      </c>
      <c r="P181" s="60">
        <f>IF(A181="","",VLOOKUP(E181,Inventory_Live!$A$2:$M$201,5,FALSE))</f>
        <v/>
      </c>
      <c r="Q181" s="60">
        <f>IF(A181="","",VLOOKUP(E181,Inventory_Live!$A$2:$M$201,6,FALSE))</f>
        <v/>
      </c>
    </row>
    <row r="182">
      <c r="A182" s="60">
        <f>IF(Catalog!N182&lt;&gt;"Yes","",Catalog!B182)</f>
        <v/>
      </c>
      <c r="B182" s="60">
        <f>IF(A182="","",Catalog!C182)</f>
        <v/>
      </c>
      <c r="C182" s="60">
        <f>IF(A182="","",Catalog!H182)</f>
        <v/>
      </c>
      <c r="D182" s="60">
        <f>IF(A182="","",Catalog!I182)</f>
        <v/>
      </c>
      <c r="E182" s="60">
        <f>IF(A182="","",Catalog!A182)</f>
        <v/>
      </c>
      <c r="F182" s="60">
        <f>IF(A182="","",Catalog!J182)</f>
        <v/>
      </c>
      <c r="G182" s="76">
        <f>IF(A182="","",Catalog!L182)</f>
        <v/>
      </c>
      <c r="H182" s="76">
        <f>IF(A182="","",Catalog!K182)</f>
        <v/>
      </c>
      <c r="I182" s="60">
        <f>IF(A182="","",Catalog!F182)</f>
        <v/>
      </c>
      <c r="J182" s="60">
        <f>IF(A182="","",Catalog!G182)</f>
        <v/>
      </c>
      <c r="K182" s="60">
        <f>IF(A182="","","TRUE")</f>
        <v/>
      </c>
      <c r="L182" s="60">
        <f>IF(A182="","","shopify")</f>
        <v/>
      </c>
      <c r="M182" s="60">
        <f>IF(A182="","","deny")</f>
        <v/>
      </c>
      <c r="N182" s="60">
        <f>IF(A182="","","active")</f>
        <v/>
      </c>
      <c r="O182" s="60">
        <f>IF(A182="","",VLOOKUP(E182,Inventory_Live!$A$2:$M$201,4,FALSE))</f>
        <v/>
      </c>
      <c r="P182" s="60">
        <f>IF(A182="","",VLOOKUP(E182,Inventory_Live!$A$2:$M$201,5,FALSE))</f>
        <v/>
      </c>
      <c r="Q182" s="60">
        <f>IF(A182="","",VLOOKUP(E182,Inventory_Live!$A$2:$M$201,6,FALSE))</f>
        <v/>
      </c>
    </row>
    <row r="183">
      <c r="A183" s="60">
        <f>IF(Catalog!N183&lt;&gt;"Yes","",Catalog!B183)</f>
        <v/>
      </c>
      <c r="B183" s="60">
        <f>IF(A183="","",Catalog!C183)</f>
        <v/>
      </c>
      <c r="C183" s="60">
        <f>IF(A183="","",Catalog!H183)</f>
        <v/>
      </c>
      <c r="D183" s="60">
        <f>IF(A183="","",Catalog!I183)</f>
        <v/>
      </c>
      <c r="E183" s="60">
        <f>IF(A183="","",Catalog!A183)</f>
        <v/>
      </c>
      <c r="F183" s="60">
        <f>IF(A183="","",Catalog!J183)</f>
        <v/>
      </c>
      <c r="G183" s="76">
        <f>IF(A183="","",Catalog!L183)</f>
        <v/>
      </c>
      <c r="H183" s="76">
        <f>IF(A183="","",Catalog!K183)</f>
        <v/>
      </c>
      <c r="I183" s="60">
        <f>IF(A183="","",Catalog!F183)</f>
        <v/>
      </c>
      <c r="J183" s="60">
        <f>IF(A183="","",Catalog!G183)</f>
        <v/>
      </c>
      <c r="K183" s="60">
        <f>IF(A183="","","TRUE")</f>
        <v/>
      </c>
      <c r="L183" s="60">
        <f>IF(A183="","","shopify")</f>
        <v/>
      </c>
      <c r="M183" s="60">
        <f>IF(A183="","","deny")</f>
        <v/>
      </c>
      <c r="N183" s="60">
        <f>IF(A183="","","active")</f>
        <v/>
      </c>
      <c r="O183" s="60">
        <f>IF(A183="","",VLOOKUP(E183,Inventory_Live!$A$2:$M$201,4,FALSE))</f>
        <v/>
      </c>
      <c r="P183" s="60">
        <f>IF(A183="","",VLOOKUP(E183,Inventory_Live!$A$2:$M$201,5,FALSE))</f>
        <v/>
      </c>
      <c r="Q183" s="60">
        <f>IF(A183="","",VLOOKUP(E183,Inventory_Live!$A$2:$M$201,6,FALSE))</f>
        <v/>
      </c>
    </row>
    <row r="184">
      <c r="A184" s="60">
        <f>IF(Catalog!N184&lt;&gt;"Yes","",Catalog!B184)</f>
        <v/>
      </c>
      <c r="B184" s="60">
        <f>IF(A184="","",Catalog!C184)</f>
        <v/>
      </c>
      <c r="C184" s="60">
        <f>IF(A184="","",Catalog!H184)</f>
        <v/>
      </c>
      <c r="D184" s="60">
        <f>IF(A184="","",Catalog!I184)</f>
        <v/>
      </c>
      <c r="E184" s="60">
        <f>IF(A184="","",Catalog!A184)</f>
        <v/>
      </c>
      <c r="F184" s="60">
        <f>IF(A184="","",Catalog!J184)</f>
        <v/>
      </c>
      <c r="G184" s="76">
        <f>IF(A184="","",Catalog!L184)</f>
        <v/>
      </c>
      <c r="H184" s="76">
        <f>IF(A184="","",Catalog!K184)</f>
        <v/>
      </c>
      <c r="I184" s="60">
        <f>IF(A184="","",Catalog!F184)</f>
        <v/>
      </c>
      <c r="J184" s="60">
        <f>IF(A184="","",Catalog!G184)</f>
        <v/>
      </c>
      <c r="K184" s="60">
        <f>IF(A184="","","TRUE")</f>
        <v/>
      </c>
      <c r="L184" s="60">
        <f>IF(A184="","","shopify")</f>
        <v/>
      </c>
      <c r="M184" s="60">
        <f>IF(A184="","","deny")</f>
        <v/>
      </c>
      <c r="N184" s="60">
        <f>IF(A184="","","active")</f>
        <v/>
      </c>
      <c r="O184" s="60">
        <f>IF(A184="","",VLOOKUP(E184,Inventory_Live!$A$2:$M$201,4,FALSE))</f>
        <v/>
      </c>
      <c r="P184" s="60">
        <f>IF(A184="","",VLOOKUP(E184,Inventory_Live!$A$2:$M$201,5,FALSE))</f>
        <v/>
      </c>
      <c r="Q184" s="60">
        <f>IF(A184="","",VLOOKUP(E184,Inventory_Live!$A$2:$M$201,6,FALSE))</f>
        <v/>
      </c>
    </row>
    <row r="185">
      <c r="A185" s="60">
        <f>IF(Catalog!N185&lt;&gt;"Yes","",Catalog!B185)</f>
        <v/>
      </c>
      <c r="B185" s="60">
        <f>IF(A185="","",Catalog!C185)</f>
        <v/>
      </c>
      <c r="C185" s="60">
        <f>IF(A185="","",Catalog!H185)</f>
        <v/>
      </c>
      <c r="D185" s="60">
        <f>IF(A185="","",Catalog!I185)</f>
        <v/>
      </c>
      <c r="E185" s="60">
        <f>IF(A185="","",Catalog!A185)</f>
        <v/>
      </c>
      <c r="F185" s="60">
        <f>IF(A185="","",Catalog!J185)</f>
        <v/>
      </c>
      <c r="G185" s="76">
        <f>IF(A185="","",Catalog!L185)</f>
        <v/>
      </c>
      <c r="H185" s="76">
        <f>IF(A185="","",Catalog!K185)</f>
        <v/>
      </c>
      <c r="I185" s="60">
        <f>IF(A185="","",Catalog!F185)</f>
        <v/>
      </c>
      <c r="J185" s="60">
        <f>IF(A185="","",Catalog!G185)</f>
        <v/>
      </c>
      <c r="K185" s="60">
        <f>IF(A185="","","TRUE")</f>
        <v/>
      </c>
      <c r="L185" s="60">
        <f>IF(A185="","","shopify")</f>
        <v/>
      </c>
      <c r="M185" s="60">
        <f>IF(A185="","","deny")</f>
        <v/>
      </c>
      <c r="N185" s="60">
        <f>IF(A185="","","active")</f>
        <v/>
      </c>
      <c r="O185" s="60">
        <f>IF(A185="","",VLOOKUP(E185,Inventory_Live!$A$2:$M$201,4,FALSE))</f>
        <v/>
      </c>
      <c r="P185" s="60">
        <f>IF(A185="","",VLOOKUP(E185,Inventory_Live!$A$2:$M$201,5,FALSE))</f>
        <v/>
      </c>
      <c r="Q185" s="60">
        <f>IF(A185="","",VLOOKUP(E185,Inventory_Live!$A$2:$M$201,6,FALSE))</f>
        <v/>
      </c>
    </row>
    <row r="186">
      <c r="A186" s="60">
        <f>IF(Catalog!N186&lt;&gt;"Yes","",Catalog!B186)</f>
        <v/>
      </c>
      <c r="B186" s="60">
        <f>IF(A186="","",Catalog!C186)</f>
        <v/>
      </c>
      <c r="C186" s="60">
        <f>IF(A186="","",Catalog!H186)</f>
        <v/>
      </c>
      <c r="D186" s="60">
        <f>IF(A186="","",Catalog!I186)</f>
        <v/>
      </c>
      <c r="E186" s="60">
        <f>IF(A186="","",Catalog!A186)</f>
        <v/>
      </c>
      <c r="F186" s="60">
        <f>IF(A186="","",Catalog!J186)</f>
        <v/>
      </c>
      <c r="G186" s="76">
        <f>IF(A186="","",Catalog!L186)</f>
        <v/>
      </c>
      <c r="H186" s="76">
        <f>IF(A186="","",Catalog!K186)</f>
        <v/>
      </c>
      <c r="I186" s="60">
        <f>IF(A186="","",Catalog!F186)</f>
        <v/>
      </c>
      <c r="J186" s="60">
        <f>IF(A186="","",Catalog!G186)</f>
        <v/>
      </c>
      <c r="K186" s="60">
        <f>IF(A186="","","TRUE")</f>
        <v/>
      </c>
      <c r="L186" s="60">
        <f>IF(A186="","","shopify")</f>
        <v/>
      </c>
      <c r="M186" s="60">
        <f>IF(A186="","","deny")</f>
        <v/>
      </c>
      <c r="N186" s="60">
        <f>IF(A186="","","active")</f>
        <v/>
      </c>
      <c r="O186" s="60">
        <f>IF(A186="","",VLOOKUP(E186,Inventory_Live!$A$2:$M$201,4,FALSE))</f>
        <v/>
      </c>
      <c r="P186" s="60">
        <f>IF(A186="","",VLOOKUP(E186,Inventory_Live!$A$2:$M$201,5,FALSE))</f>
        <v/>
      </c>
      <c r="Q186" s="60">
        <f>IF(A186="","",VLOOKUP(E186,Inventory_Live!$A$2:$M$201,6,FALSE))</f>
        <v/>
      </c>
    </row>
    <row r="187">
      <c r="A187" s="60">
        <f>IF(Catalog!N187&lt;&gt;"Yes","",Catalog!B187)</f>
        <v/>
      </c>
      <c r="B187" s="60">
        <f>IF(A187="","",Catalog!C187)</f>
        <v/>
      </c>
      <c r="C187" s="60">
        <f>IF(A187="","",Catalog!H187)</f>
        <v/>
      </c>
      <c r="D187" s="60">
        <f>IF(A187="","",Catalog!I187)</f>
        <v/>
      </c>
      <c r="E187" s="60">
        <f>IF(A187="","",Catalog!A187)</f>
        <v/>
      </c>
      <c r="F187" s="60">
        <f>IF(A187="","",Catalog!J187)</f>
        <v/>
      </c>
      <c r="G187" s="76">
        <f>IF(A187="","",Catalog!L187)</f>
        <v/>
      </c>
      <c r="H187" s="76">
        <f>IF(A187="","",Catalog!K187)</f>
        <v/>
      </c>
      <c r="I187" s="60">
        <f>IF(A187="","",Catalog!F187)</f>
        <v/>
      </c>
      <c r="J187" s="60">
        <f>IF(A187="","",Catalog!G187)</f>
        <v/>
      </c>
      <c r="K187" s="60">
        <f>IF(A187="","","TRUE")</f>
        <v/>
      </c>
      <c r="L187" s="60">
        <f>IF(A187="","","shopify")</f>
        <v/>
      </c>
      <c r="M187" s="60">
        <f>IF(A187="","","deny")</f>
        <v/>
      </c>
      <c r="N187" s="60">
        <f>IF(A187="","","active")</f>
        <v/>
      </c>
      <c r="O187" s="60">
        <f>IF(A187="","",VLOOKUP(E187,Inventory_Live!$A$2:$M$201,4,FALSE))</f>
        <v/>
      </c>
      <c r="P187" s="60">
        <f>IF(A187="","",VLOOKUP(E187,Inventory_Live!$A$2:$M$201,5,FALSE))</f>
        <v/>
      </c>
      <c r="Q187" s="60">
        <f>IF(A187="","",VLOOKUP(E187,Inventory_Live!$A$2:$M$201,6,FALSE))</f>
        <v/>
      </c>
    </row>
    <row r="188">
      <c r="A188" s="60">
        <f>IF(Catalog!N188&lt;&gt;"Yes","",Catalog!B188)</f>
        <v/>
      </c>
      <c r="B188" s="60">
        <f>IF(A188="","",Catalog!C188)</f>
        <v/>
      </c>
      <c r="C188" s="60">
        <f>IF(A188="","",Catalog!H188)</f>
        <v/>
      </c>
      <c r="D188" s="60">
        <f>IF(A188="","",Catalog!I188)</f>
        <v/>
      </c>
      <c r="E188" s="60">
        <f>IF(A188="","",Catalog!A188)</f>
        <v/>
      </c>
      <c r="F188" s="60">
        <f>IF(A188="","",Catalog!J188)</f>
        <v/>
      </c>
      <c r="G188" s="76">
        <f>IF(A188="","",Catalog!L188)</f>
        <v/>
      </c>
      <c r="H188" s="76">
        <f>IF(A188="","",Catalog!K188)</f>
        <v/>
      </c>
      <c r="I188" s="60">
        <f>IF(A188="","",Catalog!F188)</f>
        <v/>
      </c>
      <c r="J188" s="60">
        <f>IF(A188="","",Catalog!G188)</f>
        <v/>
      </c>
      <c r="K188" s="60">
        <f>IF(A188="","","TRUE")</f>
        <v/>
      </c>
      <c r="L188" s="60">
        <f>IF(A188="","","shopify")</f>
        <v/>
      </c>
      <c r="M188" s="60">
        <f>IF(A188="","","deny")</f>
        <v/>
      </c>
      <c r="N188" s="60">
        <f>IF(A188="","","active")</f>
        <v/>
      </c>
      <c r="O188" s="60">
        <f>IF(A188="","",VLOOKUP(E188,Inventory_Live!$A$2:$M$201,4,FALSE))</f>
        <v/>
      </c>
      <c r="P188" s="60">
        <f>IF(A188="","",VLOOKUP(E188,Inventory_Live!$A$2:$M$201,5,FALSE))</f>
        <v/>
      </c>
      <c r="Q188" s="60">
        <f>IF(A188="","",VLOOKUP(E188,Inventory_Live!$A$2:$M$201,6,FALSE))</f>
        <v/>
      </c>
    </row>
    <row r="189">
      <c r="A189" s="60">
        <f>IF(Catalog!N189&lt;&gt;"Yes","",Catalog!B189)</f>
        <v/>
      </c>
      <c r="B189" s="60">
        <f>IF(A189="","",Catalog!C189)</f>
        <v/>
      </c>
      <c r="C189" s="60">
        <f>IF(A189="","",Catalog!H189)</f>
        <v/>
      </c>
      <c r="D189" s="60">
        <f>IF(A189="","",Catalog!I189)</f>
        <v/>
      </c>
      <c r="E189" s="60">
        <f>IF(A189="","",Catalog!A189)</f>
        <v/>
      </c>
      <c r="F189" s="60">
        <f>IF(A189="","",Catalog!J189)</f>
        <v/>
      </c>
      <c r="G189" s="76">
        <f>IF(A189="","",Catalog!L189)</f>
        <v/>
      </c>
      <c r="H189" s="76">
        <f>IF(A189="","",Catalog!K189)</f>
        <v/>
      </c>
      <c r="I189" s="60">
        <f>IF(A189="","",Catalog!F189)</f>
        <v/>
      </c>
      <c r="J189" s="60">
        <f>IF(A189="","",Catalog!G189)</f>
        <v/>
      </c>
      <c r="K189" s="60">
        <f>IF(A189="","","TRUE")</f>
        <v/>
      </c>
      <c r="L189" s="60">
        <f>IF(A189="","","shopify")</f>
        <v/>
      </c>
      <c r="M189" s="60">
        <f>IF(A189="","","deny")</f>
        <v/>
      </c>
      <c r="N189" s="60">
        <f>IF(A189="","","active")</f>
        <v/>
      </c>
      <c r="O189" s="60">
        <f>IF(A189="","",VLOOKUP(E189,Inventory_Live!$A$2:$M$201,4,FALSE))</f>
        <v/>
      </c>
      <c r="P189" s="60">
        <f>IF(A189="","",VLOOKUP(E189,Inventory_Live!$A$2:$M$201,5,FALSE))</f>
        <v/>
      </c>
      <c r="Q189" s="60">
        <f>IF(A189="","",VLOOKUP(E189,Inventory_Live!$A$2:$M$201,6,FALSE))</f>
        <v/>
      </c>
    </row>
    <row r="190">
      <c r="A190" s="60">
        <f>IF(Catalog!N190&lt;&gt;"Yes","",Catalog!B190)</f>
        <v/>
      </c>
      <c r="B190" s="60">
        <f>IF(A190="","",Catalog!C190)</f>
        <v/>
      </c>
      <c r="C190" s="60">
        <f>IF(A190="","",Catalog!H190)</f>
        <v/>
      </c>
      <c r="D190" s="60">
        <f>IF(A190="","",Catalog!I190)</f>
        <v/>
      </c>
      <c r="E190" s="60">
        <f>IF(A190="","",Catalog!A190)</f>
        <v/>
      </c>
      <c r="F190" s="60">
        <f>IF(A190="","",Catalog!J190)</f>
        <v/>
      </c>
      <c r="G190" s="76">
        <f>IF(A190="","",Catalog!L190)</f>
        <v/>
      </c>
      <c r="H190" s="76">
        <f>IF(A190="","",Catalog!K190)</f>
        <v/>
      </c>
      <c r="I190" s="60">
        <f>IF(A190="","",Catalog!F190)</f>
        <v/>
      </c>
      <c r="J190" s="60">
        <f>IF(A190="","",Catalog!G190)</f>
        <v/>
      </c>
      <c r="K190" s="60">
        <f>IF(A190="","","TRUE")</f>
        <v/>
      </c>
      <c r="L190" s="60">
        <f>IF(A190="","","shopify")</f>
        <v/>
      </c>
      <c r="M190" s="60">
        <f>IF(A190="","","deny")</f>
        <v/>
      </c>
      <c r="N190" s="60">
        <f>IF(A190="","","active")</f>
        <v/>
      </c>
      <c r="O190" s="60">
        <f>IF(A190="","",VLOOKUP(E190,Inventory_Live!$A$2:$M$201,4,FALSE))</f>
        <v/>
      </c>
      <c r="P190" s="60">
        <f>IF(A190="","",VLOOKUP(E190,Inventory_Live!$A$2:$M$201,5,FALSE))</f>
        <v/>
      </c>
      <c r="Q190" s="60">
        <f>IF(A190="","",VLOOKUP(E190,Inventory_Live!$A$2:$M$201,6,FALSE))</f>
        <v/>
      </c>
    </row>
    <row r="191">
      <c r="A191" s="60">
        <f>IF(Catalog!N191&lt;&gt;"Yes","",Catalog!B191)</f>
        <v/>
      </c>
      <c r="B191" s="60">
        <f>IF(A191="","",Catalog!C191)</f>
        <v/>
      </c>
      <c r="C191" s="60">
        <f>IF(A191="","",Catalog!H191)</f>
        <v/>
      </c>
      <c r="D191" s="60">
        <f>IF(A191="","",Catalog!I191)</f>
        <v/>
      </c>
      <c r="E191" s="60">
        <f>IF(A191="","",Catalog!A191)</f>
        <v/>
      </c>
      <c r="F191" s="60">
        <f>IF(A191="","",Catalog!J191)</f>
        <v/>
      </c>
      <c r="G191" s="76">
        <f>IF(A191="","",Catalog!L191)</f>
        <v/>
      </c>
      <c r="H191" s="76">
        <f>IF(A191="","",Catalog!K191)</f>
        <v/>
      </c>
      <c r="I191" s="60">
        <f>IF(A191="","",Catalog!F191)</f>
        <v/>
      </c>
      <c r="J191" s="60">
        <f>IF(A191="","",Catalog!G191)</f>
        <v/>
      </c>
      <c r="K191" s="60">
        <f>IF(A191="","","TRUE")</f>
        <v/>
      </c>
      <c r="L191" s="60">
        <f>IF(A191="","","shopify")</f>
        <v/>
      </c>
      <c r="M191" s="60">
        <f>IF(A191="","","deny")</f>
        <v/>
      </c>
      <c r="N191" s="60">
        <f>IF(A191="","","active")</f>
        <v/>
      </c>
      <c r="O191" s="60">
        <f>IF(A191="","",VLOOKUP(E191,Inventory_Live!$A$2:$M$201,4,FALSE))</f>
        <v/>
      </c>
      <c r="P191" s="60">
        <f>IF(A191="","",VLOOKUP(E191,Inventory_Live!$A$2:$M$201,5,FALSE))</f>
        <v/>
      </c>
      <c r="Q191" s="60">
        <f>IF(A191="","",VLOOKUP(E191,Inventory_Live!$A$2:$M$201,6,FALSE))</f>
        <v/>
      </c>
    </row>
    <row r="192">
      <c r="A192" s="60">
        <f>IF(Catalog!N192&lt;&gt;"Yes","",Catalog!B192)</f>
        <v/>
      </c>
      <c r="B192" s="60">
        <f>IF(A192="","",Catalog!C192)</f>
        <v/>
      </c>
      <c r="C192" s="60">
        <f>IF(A192="","",Catalog!H192)</f>
        <v/>
      </c>
      <c r="D192" s="60">
        <f>IF(A192="","",Catalog!I192)</f>
        <v/>
      </c>
      <c r="E192" s="60">
        <f>IF(A192="","",Catalog!A192)</f>
        <v/>
      </c>
      <c r="F192" s="60">
        <f>IF(A192="","",Catalog!J192)</f>
        <v/>
      </c>
      <c r="G192" s="76">
        <f>IF(A192="","",Catalog!L192)</f>
        <v/>
      </c>
      <c r="H192" s="76">
        <f>IF(A192="","",Catalog!K192)</f>
        <v/>
      </c>
      <c r="I192" s="60">
        <f>IF(A192="","",Catalog!F192)</f>
        <v/>
      </c>
      <c r="J192" s="60">
        <f>IF(A192="","",Catalog!G192)</f>
        <v/>
      </c>
      <c r="K192" s="60">
        <f>IF(A192="","","TRUE")</f>
        <v/>
      </c>
      <c r="L192" s="60">
        <f>IF(A192="","","shopify")</f>
        <v/>
      </c>
      <c r="M192" s="60">
        <f>IF(A192="","","deny")</f>
        <v/>
      </c>
      <c r="N192" s="60">
        <f>IF(A192="","","active")</f>
        <v/>
      </c>
      <c r="O192" s="60">
        <f>IF(A192="","",VLOOKUP(E192,Inventory_Live!$A$2:$M$201,4,FALSE))</f>
        <v/>
      </c>
      <c r="P192" s="60">
        <f>IF(A192="","",VLOOKUP(E192,Inventory_Live!$A$2:$M$201,5,FALSE))</f>
        <v/>
      </c>
      <c r="Q192" s="60">
        <f>IF(A192="","",VLOOKUP(E192,Inventory_Live!$A$2:$M$201,6,FALSE))</f>
        <v/>
      </c>
    </row>
    <row r="193">
      <c r="A193" s="60">
        <f>IF(Catalog!N193&lt;&gt;"Yes","",Catalog!B193)</f>
        <v/>
      </c>
      <c r="B193" s="60">
        <f>IF(A193="","",Catalog!C193)</f>
        <v/>
      </c>
      <c r="C193" s="60">
        <f>IF(A193="","",Catalog!H193)</f>
        <v/>
      </c>
      <c r="D193" s="60">
        <f>IF(A193="","",Catalog!I193)</f>
        <v/>
      </c>
      <c r="E193" s="60">
        <f>IF(A193="","",Catalog!A193)</f>
        <v/>
      </c>
      <c r="F193" s="60">
        <f>IF(A193="","",Catalog!J193)</f>
        <v/>
      </c>
      <c r="G193" s="76">
        <f>IF(A193="","",Catalog!L193)</f>
        <v/>
      </c>
      <c r="H193" s="76">
        <f>IF(A193="","",Catalog!K193)</f>
        <v/>
      </c>
      <c r="I193" s="60">
        <f>IF(A193="","",Catalog!F193)</f>
        <v/>
      </c>
      <c r="J193" s="60">
        <f>IF(A193="","",Catalog!G193)</f>
        <v/>
      </c>
      <c r="K193" s="60">
        <f>IF(A193="","","TRUE")</f>
        <v/>
      </c>
      <c r="L193" s="60">
        <f>IF(A193="","","shopify")</f>
        <v/>
      </c>
      <c r="M193" s="60">
        <f>IF(A193="","","deny")</f>
        <v/>
      </c>
      <c r="N193" s="60">
        <f>IF(A193="","","active")</f>
        <v/>
      </c>
      <c r="O193" s="60">
        <f>IF(A193="","",VLOOKUP(E193,Inventory_Live!$A$2:$M$201,4,FALSE))</f>
        <v/>
      </c>
      <c r="P193" s="60">
        <f>IF(A193="","",VLOOKUP(E193,Inventory_Live!$A$2:$M$201,5,FALSE))</f>
        <v/>
      </c>
      <c r="Q193" s="60">
        <f>IF(A193="","",VLOOKUP(E193,Inventory_Live!$A$2:$M$201,6,FALSE))</f>
        <v/>
      </c>
    </row>
    <row r="194">
      <c r="A194" s="60">
        <f>IF(Catalog!N194&lt;&gt;"Yes","",Catalog!B194)</f>
        <v/>
      </c>
      <c r="B194" s="60">
        <f>IF(A194="","",Catalog!C194)</f>
        <v/>
      </c>
      <c r="C194" s="60">
        <f>IF(A194="","",Catalog!H194)</f>
        <v/>
      </c>
      <c r="D194" s="60">
        <f>IF(A194="","",Catalog!I194)</f>
        <v/>
      </c>
      <c r="E194" s="60">
        <f>IF(A194="","",Catalog!A194)</f>
        <v/>
      </c>
      <c r="F194" s="60">
        <f>IF(A194="","",Catalog!J194)</f>
        <v/>
      </c>
      <c r="G194" s="76">
        <f>IF(A194="","",Catalog!L194)</f>
        <v/>
      </c>
      <c r="H194" s="76">
        <f>IF(A194="","",Catalog!K194)</f>
        <v/>
      </c>
      <c r="I194" s="60">
        <f>IF(A194="","",Catalog!F194)</f>
        <v/>
      </c>
      <c r="J194" s="60">
        <f>IF(A194="","",Catalog!G194)</f>
        <v/>
      </c>
      <c r="K194" s="60">
        <f>IF(A194="","","TRUE")</f>
        <v/>
      </c>
      <c r="L194" s="60">
        <f>IF(A194="","","shopify")</f>
        <v/>
      </c>
      <c r="M194" s="60">
        <f>IF(A194="","","deny")</f>
        <v/>
      </c>
      <c r="N194" s="60">
        <f>IF(A194="","","active")</f>
        <v/>
      </c>
      <c r="O194" s="60">
        <f>IF(A194="","",VLOOKUP(E194,Inventory_Live!$A$2:$M$201,4,FALSE))</f>
        <v/>
      </c>
      <c r="P194" s="60">
        <f>IF(A194="","",VLOOKUP(E194,Inventory_Live!$A$2:$M$201,5,FALSE))</f>
        <v/>
      </c>
      <c r="Q194" s="60">
        <f>IF(A194="","",VLOOKUP(E194,Inventory_Live!$A$2:$M$201,6,FALSE))</f>
        <v/>
      </c>
    </row>
    <row r="195">
      <c r="A195" s="60">
        <f>IF(Catalog!N195&lt;&gt;"Yes","",Catalog!B195)</f>
        <v/>
      </c>
      <c r="B195" s="60">
        <f>IF(A195="","",Catalog!C195)</f>
        <v/>
      </c>
      <c r="C195" s="60">
        <f>IF(A195="","",Catalog!H195)</f>
        <v/>
      </c>
      <c r="D195" s="60">
        <f>IF(A195="","",Catalog!I195)</f>
        <v/>
      </c>
      <c r="E195" s="60">
        <f>IF(A195="","",Catalog!A195)</f>
        <v/>
      </c>
      <c r="F195" s="60">
        <f>IF(A195="","",Catalog!J195)</f>
        <v/>
      </c>
      <c r="G195" s="76">
        <f>IF(A195="","",Catalog!L195)</f>
        <v/>
      </c>
      <c r="H195" s="76">
        <f>IF(A195="","",Catalog!K195)</f>
        <v/>
      </c>
      <c r="I195" s="60">
        <f>IF(A195="","",Catalog!F195)</f>
        <v/>
      </c>
      <c r="J195" s="60">
        <f>IF(A195="","",Catalog!G195)</f>
        <v/>
      </c>
      <c r="K195" s="60">
        <f>IF(A195="","","TRUE")</f>
        <v/>
      </c>
      <c r="L195" s="60">
        <f>IF(A195="","","shopify")</f>
        <v/>
      </c>
      <c r="M195" s="60">
        <f>IF(A195="","","deny")</f>
        <v/>
      </c>
      <c r="N195" s="60">
        <f>IF(A195="","","active")</f>
        <v/>
      </c>
      <c r="O195" s="60">
        <f>IF(A195="","",VLOOKUP(E195,Inventory_Live!$A$2:$M$201,4,FALSE))</f>
        <v/>
      </c>
      <c r="P195" s="60">
        <f>IF(A195="","",VLOOKUP(E195,Inventory_Live!$A$2:$M$201,5,FALSE))</f>
        <v/>
      </c>
      <c r="Q195" s="60">
        <f>IF(A195="","",VLOOKUP(E195,Inventory_Live!$A$2:$M$201,6,FALSE))</f>
        <v/>
      </c>
    </row>
    <row r="196">
      <c r="A196" s="60">
        <f>IF(Catalog!N196&lt;&gt;"Yes","",Catalog!B196)</f>
        <v/>
      </c>
      <c r="B196" s="60">
        <f>IF(A196="","",Catalog!C196)</f>
        <v/>
      </c>
      <c r="C196" s="60">
        <f>IF(A196="","",Catalog!H196)</f>
        <v/>
      </c>
      <c r="D196" s="60">
        <f>IF(A196="","",Catalog!I196)</f>
        <v/>
      </c>
      <c r="E196" s="60">
        <f>IF(A196="","",Catalog!A196)</f>
        <v/>
      </c>
      <c r="F196" s="60">
        <f>IF(A196="","",Catalog!J196)</f>
        <v/>
      </c>
      <c r="G196" s="76">
        <f>IF(A196="","",Catalog!L196)</f>
        <v/>
      </c>
      <c r="H196" s="76">
        <f>IF(A196="","",Catalog!K196)</f>
        <v/>
      </c>
      <c r="I196" s="60">
        <f>IF(A196="","",Catalog!F196)</f>
        <v/>
      </c>
      <c r="J196" s="60">
        <f>IF(A196="","",Catalog!G196)</f>
        <v/>
      </c>
      <c r="K196" s="60">
        <f>IF(A196="","","TRUE")</f>
        <v/>
      </c>
      <c r="L196" s="60">
        <f>IF(A196="","","shopify")</f>
        <v/>
      </c>
      <c r="M196" s="60">
        <f>IF(A196="","","deny")</f>
        <v/>
      </c>
      <c r="N196" s="60">
        <f>IF(A196="","","active")</f>
        <v/>
      </c>
      <c r="O196" s="60">
        <f>IF(A196="","",VLOOKUP(E196,Inventory_Live!$A$2:$M$201,4,FALSE))</f>
        <v/>
      </c>
      <c r="P196" s="60">
        <f>IF(A196="","",VLOOKUP(E196,Inventory_Live!$A$2:$M$201,5,FALSE))</f>
        <v/>
      </c>
      <c r="Q196" s="60">
        <f>IF(A196="","",VLOOKUP(E196,Inventory_Live!$A$2:$M$201,6,FALSE))</f>
        <v/>
      </c>
    </row>
    <row r="197">
      <c r="A197" s="60">
        <f>IF(Catalog!N197&lt;&gt;"Yes","",Catalog!B197)</f>
        <v/>
      </c>
      <c r="B197" s="60">
        <f>IF(A197="","",Catalog!C197)</f>
        <v/>
      </c>
      <c r="C197" s="60">
        <f>IF(A197="","",Catalog!H197)</f>
        <v/>
      </c>
      <c r="D197" s="60">
        <f>IF(A197="","",Catalog!I197)</f>
        <v/>
      </c>
      <c r="E197" s="60">
        <f>IF(A197="","",Catalog!A197)</f>
        <v/>
      </c>
      <c r="F197" s="60">
        <f>IF(A197="","",Catalog!J197)</f>
        <v/>
      </c>
      <c r="G197" s="76">
        <f>IF(A197="","",Catalog!L197)</f>
        <v/>
      </c>
      <c r="H197" s="76">
        <f>IF(A197="","",Catalog!K197)</f>
        <v/>
      </c>
      <c r="I197" s="60">
        <f>IF(A197="","",Catalog!F197)</f>
        <v/>
      </c>
      <c r="J197" s="60">
        <f>IF(A197="","",Catalog!G197)</f>
        <v/>
      </c>
      <c r="K197" s="60">
        <f>IF(A197="","","TRUE")</f>
        <v/>
      </c>
      <c r="L197" s="60">
        <f>IF(A197="","","shopify")</f>
        <v/>
      </c>
      <c r="M197" s="60">
        <f>IF(A197="","","deny")</f>
        <v/>
      </c>
      <c r="N197" s="60">
        <f>IF(A197="","","active")</f>
        <v/>
      </c>
      <c r="O197" s="60">
        <f>IF(A197="","",VLOOKUP(E197,Inventory_Live!$A$2:$M$201,4,FALSE))</f>
        <v/>
      </c>
      <c r="P197" s="60">
        <f>IF(A197="","",VLOOKUP(E197,Inventory_Live!$A$2:$M$201,5,FALSE))</f>
        <v/>
      </c>
      <c r="Q197" s="60">
        <f>IF(A197="","",VLOOKUP(E197,Inventory_Live!$A$2:$M$201,6,FALSE))</f>
        <v/>
      </c>
    </row>
    <row r="198">
      <c r="A198" s="60">
        <f>IF(Catalog!N198&lt;&gt;"Yes","",Catalog!B198)</f>
        <v/>
      </c>
      <c r="B198" s="60">
        <f>IF(A198="","",Catalog!C198)</f>
        <v/>
      </c>
      <c r="C198" s="60">
        <f>IF(A198="","",Catalog!H198)</f>
        <v/>
      </c>
      <c r="D198" s="60">
        <f>IF(A198="","",Catalog!I198)</f>
        <v/>
      </c>
      <c r="E198" s="60">
        <f>IF(A198="","",Catalog!A198)</f>
        <v/>
      </c>
      <c r="F198" s="60">
        <f>IF(A198="","",Catalog!J198)</f>
        <v/>
      </c>
      <c r="G198" s="76">
        <f>IF(A198="","",Catalog!L198)</f>
        <v/>
      </c>
      <c r="H198" s="76">
        <f>IF(A198="","",Catalog!K198)</f>
        <v/>
      </c>
      <c r="I198" s="60">
        <f>IF(A198="","",Catalog!F198)</f>
        <v/>
      </c>
      <c r="J198" s="60">
        <f>IF(A198="","",Catalog!G198)</f>
        <v/>
      </c>
      <c r="K198" s="60">
        <f>IF(A198="","","TRUE")</f>
        <v/>
      </c>
      <c r="L198" s="60">
        <f>IF(A198="","","shopify")</f>
        <v/>
      </c>
      <c r="M198" s="60">
        <f>IF(A198="","","deny")</f>
        <v/>
      </c>
      <c r="N198" s="60">
        <f>IF(A198="","","active")</f>
        <v/>
      </c>
      <c r="O198" s="60">
        <f>IF(A198="","",VLOOKUP(E198,Inventory_Live!$A$2:$M$201,4,FALSE))</f>
        <v/>
      </c>
      <c r="P198" s="60">
        <f>IF(A198="","",VLOOKUP(E198,Inventory_Live!$A$2:$M$201,5,FALSE))</f>
        <v/>
      </c>
      <c r="Q198" s="60">
        <f>IF(A198="","",VLOOKUP(E198,Inventory_Live!$A$2:$M$201,6,FALSE))</f>
        <v/>
      </c>
    </row>
    <row r="199">
      <c r="A199" s="60">
        <f>IF(Catalog!N199&lt;&gt;"Yes","",Catalog!B199)</f>
        <v/>
      </c>
      <c r="B199" s="60">
        <f>IF(A199="","",Catalog!C199)</f>
        <v/>
      </c>
      <c r="C199" s="60">
        <f>IF(A199="","",Catalog!H199)</f>
        <v/>
      </c>
      <c r="D199" s="60">
        <f>IF(A199="","",Catalog!I199)</f>
        <v/>
      </c>
      <c r="E199" s="60">
        <f>IF(A199="","",Catalog!A199)</f>
        <v/>
      </c>
      <c r="F199" s="60">
        <f>IF(A199="","",Catalog!J199)</f>
        <v/>
      </c>
      <c r="G199" s="76">
        <f>IF(A199="","",Catalog!L199)</f>
        <v/>
      </c>
      <c r="H199" s="76">
        <f>IF(A199="","",Catalog!K199)</f>
        <v/>
      </c>
      <c r="I199" s="60">
        <f>IF(A199="","",Catalog!F199)</f>
        <v/>
      </c>
      <c r="J199" s="60">
        <f>IF(A199="","",Catalog!G199)</f>
        <v/>
      </c>
      <c r="K199" s="60">
        <f>IF(A199="","","TRUE")</f>
        <v/>
      </c>
      <c r="L199" s="60">
        <f>IF(A199="","","shopify")</f>
        <v/>
      </c>
      <c r="M199" s="60">
        <f>IF(A199="","","deny")</f>
        <v/>
      </c>
      <c r="N199" s="60">
        <f>IF(A199="","","active")</f>
        <v/>
      </c>
      <c r="O199" s="60">
        <f>IF(A199="","",VLOOKUP(E199,Inventory_Live!$A$2:$M$201,4,FALSE))</f>
        <v/>
      </c>
      <c r="P199" s="60">
        <f>IF(A199="","",VLOOKUP(E199,Inventory_Live!$A$2:$M$201,5,FALSE))</f>
        <v/>
      </c>
      <c r="Q199" s="60">
        <f>IF(A199="","",VLOOKUP(E199,Inventory_Live!$A$2:$M$201,6,FALSE))</f>
        <v/>
      </c>
    </row>
    <row r="200">
      <c r="A200" s="60">
        <f>IF(Catalog!N200&lt;&gt;"Yes","",Catalog!B200)</f>
        <v/>
      </c>
      <c r="B200" s="60">
        <f>IF(A200="","",Catalog!C200)</f>
        <v/>
      </c>
      <c r="C200" s="60">
        <f>IF(A200="","",Catalog!H200)</f>
        <v/>
      </c>
      <c r="D200" s="60">
        <f>IF(A200="","",Catalog!I200)</f>
        <v/>
      </c>
      <c r="E200" s="60">
        <f>IF(A200="","",Catalog!A200)</f>
        <v/>
      </c>
      <c r="F200" s="60">
        <f>IF(A200="","",Catalog!J200)</f>
        <v/>
      </c>
      <c r="G200" s="76">
        <f>IF(A200="","",Catalog!L200)</f>
        <v/>
      </c>
      <c r="H200" s="76">
        <f>IF(A200="","",Catalog!K200)</f>
        <v/>
      </c>
      <c r="I200" s="60">
        <f>IF(A200="","",Catalog!F200)</f>
        <v/>
      </c>
      <c r="J200" s="60">
        <f>IF(A200="","",Catalog!G200)</f>
        <v/>
      </c>
      <c r="K200" s="60">
        <f>IF(A200="","","TRUE")</f>
        <v/>
      </c>
      <c r="L200" s="60">
        <f>IF(A200="","","shopify")</f>
        <v/>
      </c>
      <c r="M200" s="60">
        <f>IF(A200="","","deny")</f>
        <v/>
      </c>
      <c r="N200" s="60">
        <f>IF(A200="","","active")</f>
        <v/>
      </c>
      <c r="O200" s="60">
        <f>IF(A200="","",VLOOKUP(E200,Inventory_Live!$A$2:$M$201,4,FALSE))</f>
        <v/>
      </c>
      <c r="P200" s="60">
        <f>IF(A200="","",VLOOKUP(E200,Inventory_Live!$A$2:$M$201,5,FALSE))</f>
        <v/>
      </c>
      <c r="Q200" s="60">
        <f>IF(A200="","",VLOOKUP(E200,Inventory_Live!$A$2:$M$201,6,FALSE))</f>
        <v/>
      </c>
    </row>
    <row r="201">
      <c r="A201" s="60">
        <f>IF(Catalog!N201&lt;&gt;"Yes","",Catalog!B201)</f>
        <v/>
      </c>
      <c r="B201" s="60">
        <f>IF(A201="","",Catalog!C201)</f>
        <v/>
      </c>
      <c r="C201" s="60">
        <f>IF(A201="","",Catalog!H201)</f>
        <v/>
      </c>
      <c r="D201" s="60">
        <f>IF(A201="","",Catalog!I201)</f>
        <v/>
      </c>
      <c r="E201" s="60">
        <f>IF(A201="","",Catalog!A201)</f>
        <v/>
      </c>
      <c r="F201" s="60">
        <f>IF(A201="","",Catalog!J201)</f>
        <v/>
      </c>
      <c r="G201" s="76">
        <f>IF(A201="","",Catalog!L201)</f>
        <v/>
      </c>
      <c r="H201" s="76">
        <f>IF(A201="","",Catalog!K201)</f>
        <v/>
      </c>
      <c r="I201" s="60">
        <f>IF(A201="","",Catalog!F201)</f>
        <v/>
      </c>
      <c r="J201" s="60">
        <f>IF(A201="","",Catalog!G201)</f>
        <v/>
      </c>
      <c r="K201" s="60">
        <f>IF(A201="","","TRUE")</f>
        <v/>
      </c>
      <c r="L201" s="60">
        <f>IF(A201="","","shopify")</f>
        <v/>
      </c>
      <c r="M201" s="60">
        <f>IF(A201="","","deny")</f>
        <v/>
      </c>
      <c r="N201" s="60">
        <f>IF(A201="","","active")</f>
        <v/>
      </c>
      <c r="O201" s="60">
        <f>IF(A201="","",VLOOKUP(E201,Inventory_Live!$A$2:$M$201,4,FALSE))</f>
        <v/>
      </c>
      <c r="P201" s="60">
        <f>IF(A201="","",VLOOKUP(E201,Inventory_Live!$A$2:$M$201,5,FALSE))</f>
        <v/>
      </c>
      <c r="Q201" s="60">
        <f>IF(A201="","",VLOOKUP(E201,Inventory_Live!$A$2:$M$201,6,FALSE))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8" customWidth="1" min="3" max="3"/>
    <col width="20" customWidth="1" min="4" max="4"/>
  </cols>
  <sheetData>
    <row r="1">
      <c r="A1" s="77" t="inlineStr">
        <is>
          <t>WEBHOOK CONFIGURATION</t>
        </is>
      </c>
    </row>
    <row r="2">
      <c r="A2" s="78" t="inlineStr">
        <is>
          <t>Configure the webhook endpoint that will update inventory from Shopify or external systems.</t>
        </is>
      </c>
    </row>
    <row r="4">
      <c r="A4" s="79" t="inlineStr">
        <is>
          <t>Setting</t>
        </is>
      </c>
      <c r="B4" s="79" t="inlineStr">
        <is>
          <t>Value</t>
        </is>
      </c>
      <c r="C4" s="79" t="inlineStr">
        <is>
          <t>Description</t>
        </is>
      </c>
      <c r="D4" s="79" t="inlineStr">
        <is>
          <t>Last Updated</t>
        </is>
      </c>
    </row>
    <row r="5">
      <c r="A5" s="80" t="inlineStr">
        <is>
          <t>webhook_secret</t>
        </is>
      </c>
      <c r="B5" s="81" t="inlineStr">
        <is>
          <t>YOUR_SECRET_HERE</t>
        </is>
      </c>
      <c r="C5" s="82" t="inlineStr">
        <is>
          <t>Secret token to validate webhook requests</t>
        </is>
      </c>
      <c r="D5" s="80" t="inlineStr"/>
    </row>
    <row r="6">
      <c r="A6" s="83" t="inlineStr">
        <is>
          <t>shopify_store_domain</t>
        </is>
      </c>
      <c r="B6" s="84" t="inlineStr">
        <is>
          <t>yourstore.myshopify.com</t>
        </is>
      </c>
      <c r="C6" s="85" t="inlineStr">
        <is>
          <t>Shopify store domain</t>
        </is>
      </c>
      <c r="D6" s="83" t="inlineStr"/>
    </row>
    <row r="7">
      <c r="A7" s="80" t="inlineStr">
        <is>
          <t>shopify_api_version</t>
        </is>
      </c>
      <c r="B7" s="81" t="inlineStr">
        <is>
          <t>2024-01</t>
        </is>
      </c>
      <c r="C7" s="82" t="inlineStr">
        <is>
          <t>Shopify API version</t>
        </is>
      </c>
      <c r="D7" s="80" t="inlineStr"/>
    </row>
    <row r="8">
      <c r="A8" s="83" t="inlineStr">
        <is>
          <t>shopify_access_token</t>
        </is>
      </c>
      <c r="B8" s="84" t="inlineStr">
        <is>
          <t>shpat_YOUR_TOKEN</t>
        </is>
      </c>
      <c r="C8" s="85" t="inlineStr">
        <is>
          <t>Shopify Admin API access token</t>
        </is>
      </c>
      <c r="D8" s="83" t="inlineStr"/>
    </row>
    <row r="9">
      <c r="A9" s="80" t="inlineStr">
        <is>
          <t>excel_file_path</t>
        </is>
      </c>
      <c r="B9" s="81" t="inlineStr">
        <is>
          <t>./stock_control_shopify_ready.xlsx</t>
        </is>
      </c>
      <c r="C9" s="82" t="inlineStr">
        <is>
          <t>Path to this Excel file (relative)</t>
        </is>
      </c>
      <c r="D9" s="80" t="inlineStr"/>
    </row>
    <row r="10">
      <c r="A10" s="83" t="inlineStr">
        <is>
          <t>webhook_port</t>
        </is>
      </c>
      <c r="B10" s="84" t="inlineStr">
        <is>
          <t>3000</t>
        </is>
      </c>
      <c r="C10" s="85" t="inlineStr">
        <is>
          <t>Port the webhook server listens on</t>
        </is>
      </c>
      <c r="D10" s="83" t="inlineStr"/>
    </row>
    <row r="11">
      <c r="A11" s="80" t="inlineStr">
        <is>
          <t>auto_export_csv</t>
        </is>
      </c>
      <c r="B11" s="81" t="inlineStr">
        <is>
          <t>true</t>
        </is>
      </c>
      <c r="C11" s="82" t="inlineStr">
        <is>
          <t>Auto-export inventory CSV on each webhook call</t>
        </is>
      </c>
      <c r="D11" s="80" t="inlineStr"/>
    </row>
    <row r="12">
      <c r="A12" s="83" t="inlineStr">
        <is>
          <t>locations</t>
        </is>
      </c>
      <c r="B12" s="84" t="inlineStr">
        <is>
          <t>Studio,Knokke,Warehouse</t>
        </is>
      </c>
      <c r="C12" s="85" t="inlineStr">
        <is>
          <t>Comma-separated location names</t>
        </is>
      </c>
      <c r="D12" s="83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77" t="inlineStr">
        <is>
          <t>WEBHOOK SYNC LOG</t>
        </is>
      </c>
    </row>
    <row r="3">
      <c r="A3" s="79" t="inlineStr">
        <is>
          <t>Timestamp</t>
        </is>
      </c>
      <c r="B3" s="79" t="inlineStr">
        <is>
          <t>SKU</t>
        </is>
      </c>
      <c r="C3" s="79" t="inlineStr">
        <is>
          <t>Location</t>
        </is>
      </c>
      <c r="D3" s="79" t="inlineStr">
        <is>
          <t>Old Qty</t>
        </is>
      </c>
      <c r="E3" s="79" t="inlineStr">
        <is>
          <t>New Qty</t>
        </is>
      </c>
      <c r="F3" s="79" t="inlineStr">
        <is>
          <t>Delta</t>
        </is>
      </c>
      <c r="G3" s="79" t="inlineStr">
        <is>
          <t>Source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2026-04-19T11:24:48Z</dcterms:created>
  <dcterms:modified xmlns:dcterms="http://purl.org/dc/terms/" xmlns:xsi="http://www.w3.org/2001/XMLSchema-instance" xsi:type="dcterms:W3CDTF">2026-04-19T11:24:48Z</dcterms:modified>
</cp:coreProperties>
</file>